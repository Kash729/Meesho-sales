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95300D12-1D3A-470F-BF7F-458F57F3BB3C}" xr6:coauthVersionLast="47" xr6:coauthVersionMax="47" xr10:uidLastSave="{00000000-0000-0000-0000-000000000000}"/>
  <bookViews>
    <workbookView xWindow="-108" yWindow="-108" windowWidth="23256" windowHeight="12456" activeTab="5" xr2:uid="{00000000-000D-0000-FFFF-FFFF00000000}"/>
  </bookViews>
  <sheets>
    <sheet name="Sheet2" sheetId="4" r:id="rId1"/>
    <sheet name="KPI_Summary" sheetId="2" r:id="rId2"/>
    <sheet name="Sheet3" sheetId="5" r:id="rId3"/>
    <sheet name="Sheet4" sheetId="7" r:id="rId4"/>
    <sheet name="Dataset" sheetId="1" r:id="rId5"/>
    <sheet name="Sheet1" sheetId="3" r:id="rId6"/>
  </sheets>
  <definedNames>
    <definedName name="_xlnm._FilterDatabase" localSheetId="4" hidden="1">Dataset!$A$1:$V$1001</definedName>
    <definedName name="Slicer_Category">#N/A</definedName>
    <definedName name="Slicer_City">#N/A</definedName>
    <definedName name="Slicer_Order_Status">#N/A</definedName>
    <definedName name="Slicer_Payment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2" l="1"/>
  <c r="D3" i="2"/>
  <c r="D5" i="2"/>
  <c r="D2" i="2"/>
  <c r="D6" i="5"/>
  <c r="C6" i="5"/>
  <c r="B6" i="5"/>
  <c r="A6" i="5"/>
</calcChain>
</file>

<file path=xl/sharedStrings.xml><?xml version="1.0" encoding="utf-8"?>
<sst xmlns="http://schemas.openxmlformats.org/spreadsheetml/2006/main" count="10093" uniqueCount="1103">
  <si>
    <t>Order_ID</t>
  </si>
  <si>
    <t>Order_Date</t>
  </si>
  <si>
    <t>Month</t>
  </si>
  <si>
    <t>Product</t>
  </si>
  <si>
    <t>Category</t>
  </si>
  <si>
    <t>City</t>
  </si>
  <si>
    <t>State</t>
  </si>
  <si>
    <t>Quantity</t>
  </si>
  <si>
    <t>MRP</t>
  </si>
  <si>
    <t>Discount_%</t>
  </si>
  <si>
    <t>Selling_Price</t>
  </si>
  <si>
    <t>Sales_Amount</t>
  </si>
  <si>
    <t>Order_Status</t>
  </si>
  <si>
    <t>Payment_Mode</t>
  </si>
  <si>
    <t>Shipping_Cost</t>
  </si>
  <si>
    <t>Return_Flag</t>
  </si>
  <si>
    <t>Platform_Fee</t>
  </si>
  <si>
    <t>Product_Cost</t>
  </si>
  <si>
    <t>Estimated_Profit</t>
  </si>
  <si>
    <t>AOV</t>
  </si>
  <si>
    <t>Week</t>
  </si>
  <si>
    <t>Order_Month</t>
  </si>
  <si>
    <t>MS100000</t>
  </si>
  <si>
    <t>Apr</t>
  </si>
  <si>
    <t>Makeup Organizer</t>
  </si>
  <si>
    <t>Beauty</t>
  </si>
  <si>
    <t>Pune</t>
  </si>
  <si>
    <t>Maharashtra</t>
  </si>
  <si>
    <t>Delivered</t>
  </si>
  <si>
    <t>Prepaid</t>
  </si>
  <si>
    <t>No</t>
  </si>
  <si>
    <t>2026-04</t>
  </si>
  <si>
    <t>MS100001</t>
  </si>
  <si>
    <t>Kids Dress</t>
  </si>
  <si>
    <t>Kids</t>
  </si>
  <si>
    <t>Bengaluru</t>
  </si>
  <si>
    <t>Karnataka</t>
  </si>
  <si>
    <t>COD</t>
  </si>
  <si>
    <t>MS100002</t>
  </si>
  <si>
    <t>Mar</t>
  </si>
  <si>
    <t>Men's T-Shirt</t>
  </si>
  <si>
    <t>Men Fashion</t>
  </si>
  <si>
    <t>Mumbai</t>
  </si>
  <si>
    <t>2026-03</t>
  </si>
  <si>
    <t>MS100003</t>
  </si>
  <si>
    <t>Jul</t>
  </si>
  <si>
    <t>Printed Saree</t>
  </si>
  <si>
    <t>Women Fashion</t>
  </si>
  <si>
    <t>Kolkata</t>
  </si>
  <si>
    <t>West Bengal</t>
  </si>
  <si>
    <t>2026-07</t>
  </si>
  <si>
    <t>MS100004</t>
  </si>
  <si>
    <t>Jan</t>
  </si>
  <si>
    <t>Kitchen Storage Set</t>
  </si>
  <si>
    <t>Home &amp; Kitchen</t>
  </si>
  <si>
    <t>Jaipur</t>
  </si>
  <si>
    <t>Rajasthan</t>
  </si>
  <si>
    <t>2026-01</t>
  </si>
  <si>
    <t>MS100005</t>
  </si>
  <si>
    <t>Women's Slippers</t>
  </si>
  <si>
    <t>Footwear</t>
  </si>
  <si>
    <t>MS100006</t>
  </si>
  <si>
    <t>May</t>
  </si>
  <si>
    <t>Women's Top</t>
  </si>
  <si>
    <t>Pending</t>
  </si>
  <si>
    <t>2026-05</t>
  </si>
  <si>
    <t>MS100007</t>
  </si>
  <si>
    <t>Aug</t>
  </si>
  <si>
    <t>Nagpur</t>
  </si>
  <si>
    <t>Returned</t>
  </si>
  <si>
    <t>Yes</t>
  </si>
  <si>
    <t>2026-08</t>
  </si>
  <si>
    <t>MS100008</t>
  </si>
  <si>
    <t>MS100009</t>
  </si>
  <si>
    <t>Handbag</t>
  </si>
  <si>
    <t>Accessories</t>
  </si>
  <si>
    <t>Shipped</t>
  </si>
  <si>
    <t>MS100010</t>
  </si>
  <si>
    <t>Jun</t>
  </si>
  <si>
    <t>Lucknow</t>
  </si>
  <si>
    <t>Uttar Pradesh</t>
  </si>
  <si>
    <t>2026-06</t>
  </si>
  <si>
    <t>MS100011</t>
  </si>
  <si>
    <t>MS100012</t>
  </si>
  <si>
    <t>Delhi</t>
  </si>
  <si>
    <t>MS100013</t>
  </si>
  <si>
    <t>Sep</t>
  </si>
  <si>
    <t>2026-09</t>
  </si>
  <si>
    <t>MS100014</t>
  </si>
  <si>
    <t>MS100015</t>
  </si>
  <si>
    <t>MS100016</t>
  </si>
  <si>
    <t>MS100017</t>
  </si>
  <si>
    <t>MS100018</t>
  </si>
  <si>
    <t>Women Kurti Set</t>
  </si>
  <si>
    <t>MS100019</t>
  </si>
  <si>
    <t>Feb</t>
  </si>
  <si>
    <t>2026-02</t>
  </si>
  <si>
    <t>MS100020</t>
  </si>
  <si>
    <t>MS100021</t>
  </si>
  <si>
    <t>MS100022</t>
  </si>
  <si>
    <t>Hyderabad</t>
  </si>
  <si>
    <t>Telangana</t>
  </si>
  <si>
    <t>Cancelled</t>
  </si>
  <si>
    <t>MS100023</t>
  </si>
  <si>
    <t>MS100024</t>
  </si>
  <si>
    <t>MS100025</t>
  </si>
  <si>
    <t>MS100026</t>
  </si>
  <si>
    <t>MS100027</t>
  </si>
  <si>
    <t>MS100028</t>
  </si>
  <si>
    <t>Ahmedabad</t>
  </si>
  <si>
    <t>Gujarat</t>
  </si>
  <si>
    <t>MS100029</t>
  </si>
  <si>
    <t>Leggings</t>
  </si>
  <si>
    <t>MS100030</t>
  </si>
  <si>
    <t>MS100031</t>
  </si>
  <si>
    <t>Oxidised Jewellery Set</t>
  </si>
  <si>
    <t>Jewellery</t>
  </si>
  <si>
    <t>MS100032</t>
  </si>
  <si>
    <t>MS100033</t>
  </si>
  <si>
    <t>MS100034</t>
  </si>
  <si>
    <t>MS100035</t>
  </si>
  <si>
    <t>MS100036</t>
  </si>
  <si>
    <t>MS100037</t>
  </si>
  <si>
    <t>MS100038</t>
  </si>
  <si>
    <t>MS100039</t>
  </si>
  <si>
    <t>MS100040</t>
  </si>
  <si>
    <t>MS100041</t>
  </si>
  <si>
    <t>MS100042</t>
  </si>
  <si>
    <t>MS100043</t>
  </si>
  <si>
    <t>MS100044</t>
  </si>
  <si>
    <t>Bedsheet</t>
  </si>
  <si>
    <t>MS100045</t>
  </si>
  <si>
    <t>MS100046</t>
  </si>
  <si>
    <t>MS100047</t>
  </si>
  <si>
    <t>MS100048</t>
  </si>
  <si>
    <t>MS100049</t>
  </si>
  <si>
    <t>MS100050</t>
  </si>
  <si>
    <t>MS100051</t>
  </si>
  <si>
    <t>MS100052</t>
  </si>
  <si>
    <t>MS100053</t>
  </si>
  <si>
    <t>MS100054</t>
  </si>
  <si>
    <t>MS100055</t>
  </si>
  <si>
    <t>MS100056</t>
  </si>
  <si>
    <t>MS100057</t>
  </si>
  <si>
    <t>MS100058</t>
  </si>
  <si>
    <t>MS100059</t>
  </si>
  <si>
    <t>MS100060</t>
  </si>
  <si>
    <t>MS100061</t>
  </si>
  <si>
    <t>MS100062</t>
  </si>
  <si>
    <t>MS100063</t>
  </si>
  <si>
    <t>MS100064</t>
  </si>
  <si>
    <t>MS100065</t>
  </si>
  <si>
    <t>MS100066</t>
  </si>
  <si>
    <t>MS100067</t>
  </si>
  <si>
    <t>MS100068</t>
  </si>
  <si>
    <t>MS100069</t>
  </si>
  <si>
    <t>MS100070</t>
  </si>
  <si>
    <t>MS100071</t>
  </si>
  <si>
    <t>MS100072</t>
  </si>
  <si>
    <t>MS100073</t>
  </si>
  <si>
    <t>MS100074</t>
  </si>
  <si>
    <t>MS100075</t>
  </si>
  <si>
    <t>MS100076</t>
  </si>
  <si>
    <t>MS100077</t>
  </si>
  <si>
    <t>MS100078</t>
  </si>
  <si>
    <t>MS100079</t>
  </si>
  <si>
    <t>MS100080</t>
  </si>
  <si>
    <t>MS100081</t>
  </si>
  <si>
    <t>MS100082</t>
  </si>
  <si>
    <t>MS100083</t>
  </si>
  <si>
    <t>MS100084</t>
  </si>
  <si>
    <t>MS100085</t>
  </si>
  <si>
    <t>MS100086</t>
  </si>
  <si>
    <t>MS100087</t>
  </si>
  <si>
    <t>MS100088</t>
  </si>
  <si>
    <t>MS100089</t>
  </si>
  <si>
    <t>MS100090</t>
  </si>
  <si>
    <t>MS100091</t>
  </si>
  <si>
    <t>MS100092</t>
  </si>
  <si>
    <t>MS100093</t>
  </si>
  <si>
    <t>MS100094</t>
  </si>
  <si>
    <t>MS100095</t>
  </si>
  <si>
    <t>MS100096</t>
  </si>
  <si>
    <t>MS100097</t>
  </si>
  <si>
    <t>MS100098</t>
  </si>
  <si>
    <t>MS100099</t>
  </si>
  <si>
    <t>MS100100</t>
  </si>
  <si>
    <t>MS100101</t>
  </si>
  <si>
    <t>MS100102</t>
  </si>
  <si>
    <t>MS100103</t>
  </si>
  <si>
    <t>MS100104</t>
  </si>
  <si>
    <t>MS100105</t>
  </si>
  <si>
    <t>MS100106</t>
  </si>
  <si>
    <t>MS100107</t>
  </si>
  <si>
    <t>MS100108</t>
  </si>
  <si>
    <t>MS100109</t>
  </si>
  <si>
    <t>MS100110</t>
  </si>
  <si>
    <t>MS100111</t>
  </si>
  <si>
    <t>MS100112</t>
  </si>
  <si>
    <t>MS100113</t>
  </si>
  <si>
    <t>MS100114</t>
  </si>
  <si>
    <t>MS100115</t>
  </si>
  <si>
    <t>MS100116</t>
  </si>
  <si>
    <t>MS100117</t>
  </si>
  <si>
    <t>MS100118</t>
  </si>
  <si>
    <t>MS100119</t>
  </si>
  <si>
    <t>MS100120</t>
  </si>
  <si>
    <t>MS100121</t>
  </si>
  <si>
    <t>MS100122</t>
  </si>
  <si>
    <t>MS100123</t>
  </si>
  <si>
    <t>MS100124</t>
  </si>
  <si>
    <t>MS100125</t>
  </si>
  <si>
    <t>MS100126</t>
  </si>
  <si>
    <t>MS100127</t>
  </si>
  <si>
    <t>MS100128</t>
  </si>
  <si>
    <t>MS100129</t>
  </si>
  <si>
    <t>MS100130</t>
  </si>
  <si>
    <t>MS100131</t>
  </si>
  <si>
    <t>MS100132</t>
  </si>
  <si>
    <t>MS100133</t>
  </si>
  <si>
    <t>MS100134</t>
  </si>
  <si>
    <t>MS100135</t>
  </si>
  <si>
    <t>MS100136</t>
  </si>
  <si>
    <t>MS100137</t>
  </si>
  <si>
    <t>MS100138</t>
  </si>
  <si>
    <t>MS100139</t>
  </si>
  <si>
    <t>MS100140</t>
  </si>
  <si>
    <t>MS100141</t>
  </si>
  <si>
    <t>MS100142</t>
  </si>
  <si>
    <t>MS100143</t>
  </si>
  <si>
    <t>MS100144</t>
  </si>
  <si>
    <t>MS100145</t>
  </si>
  <si>
    <t>MS100146</t>
  </si>
  <si>
    <t>MS100147</t>
  </si>
  <si>
    <t>MS100148</t>
  </si>
  <si>
    <t>MS100149</t>
  </si>
  <si>
    <t>MS100150</t>
  </si>
  <si>
    <t>MS100151</t>
  </si>
  <si>
    <t>MS100152</t>
  </si>
  <si>
    <t>MS100153</t>
  </si>
  <si>
    <t>MS100154</t>
  </si>
  <si>
    <t>MS100155</t>
  </si>
  <si>
    <t>MS100156</t>
  </si>
  <si>
    <t>MS100157</t>
  </si>
  <si>
    <t>MS100158</t>
  </si>
  <si>
    <t>MS100159</t>
  </si>
  <si>
    <t>MS100160</t>
  </si>
  <si>
    <t>MS100161</t>
  </si>
  <si>
    <t>MS100162</t>
  </si>
  <si>
    <t>MS100163</t>
  </si>
  <si>
    <t>MS100164</t>
  </si>
  <si>
    <t>MS100165</t>
  </si>
  <si>
    <t>MS100166</t>
  </si>
  <si>
    <t>MS100167</t>
  </si>
  <si>
    <t>MS100168</t>
  </si>
  <si>
    <t>MS100169</t>
  </si>
  <si>
    <t>MS100170</t>
  </si>
  <si>
    <t>MS100171</t>
  </si>
  <si>
    <t>MS100172</t>
  </si>
  <si>
    <t>MS100173</t>
  </si>
  <si>
    <t>MS100174</t>
  </si>
  <si>
    <t>MS100175</t>
  </si>
  <si>
    <t>MS100176</t>
  </si>
  <si>
    <t>MS100177</t>
  </si>
  <si>
    <t>MS100178</t>
  </si>
  <si>
    <t>MS100179</t>
  </si>
  <si>
    <t>MS100180</t>
  </si>
  <si>
    <t>MS100181</t>
  </si>
  <si>
    <t>MS100182</t>
  </si>
  <si>
    <t>MS100183</t>
  </si>
  <si>
    <t>MS100184</t>
  </si>
  <si>
    <t>MS100185</t>
  </si>
  <si>
    <t>MS100186</t>
  </si>
  <si>
    <t>MS100187</t>
  </si>
  <si>
    <t>MS100188</t>
  </si>
  <si>
    <t>MS100189</t>
  </si>
  <si>
    <t>MS100190</t>
  </si>
  <si>
    <t>MS100191</t>
  </si>
  <si>
    <t>MS100192</t>
  </si>
  <si>
    <t>MS100193</t>
  </si>
  <si>
    <t>MS100194</t>
  </si>
  <si>
    <t>MS100195</t>
  </si>
  <si>
    <t>MS100196</t>
  </si>
  <si>
    <t>MS100197</t>
  </si>
  <si>
    <t>MS100198</t>
  </si>
  <si>
    <t>MS100199</t>
  </si>
  <si>
    <t>MS100200</t>
  </si>
  <si>
    <t>MS100201</t>
  </si>
  <si>
    <t>MS100202</t>
  </si>
  <si>
    <t>MS100203</t>
  </si>
  <si>
    <t>MS100204</t>
  </si>
  <si>
    <t>MS100205</t>
  </si>
  <si>
    <t>MS100206</t>
  </si>
  <si>
    <t>MS100207</t>
  </si>
  <si>
    <t>MS100208</t>
  </si>
  <si>
    <t>MS100209</t>
  </si>
  <si>
    <t>MS100210</t>
  </si>
  <si>
    <t>MS100211</t>
  </si>
  <si>
    <t>MS100212</t>
  </si>
  <si>
    <t>MS100213</t>
  </si>
  <si>
    <t>MS100214</t>
  </si>
  <si>
    <t>MS100215</t>
  </si>
  <si>
    <t>MS100216</t>
  </si>
  <si>
    <t>MS100217</t>
  </si>
  <si>
    <t>MS100218</t>
  </si>
  <si>
    <t>MS100219</t>
  </si>
  <si>
    <t>MS100220</t>
  </si>
  <si>
    <t>MS100221</t>
  </si>
  <si>
    <t>MS100222</t>
  </si>
  <si>
    <t>MS100223</t>
  </si>
  <si>
    <t>MS100224</t>
  </si>
  <si>
    <t>MS100225</t>
  </si>
  <si>
    <t>MS100226</t>
  </si>
  <si>
    <t>MS100227</t>
  </si>
  <si>
    <t>MS100228</t>
  </si>
  <si>
    <t>MS100229</t>
  </si>
  <si>
    <t>MS100230</t>
  </si>
  <si>
    <t>MS100231</t>
  </si>
  <si>
    <t>MS100232</t>
  </si>
  <si>
    <t>MS100233</t>
  </si>
  <si>
    <t>MS100234</t>
  </si>
  <si>
    <t>MS100235</t>
  </si>
  <si>
    <t>MS100236</t>
  </si>
  <si>
    <t>MS100237</t>
  </si>
  <si>
    <t>MS100238</t>
  </si>
  <si>
    <t>MS100239</t>
  </si>
  <si>
    <t>MS100240</t>
  </si>
  <si>
    <t>MS100241</t>
  </si>
  <si>
    <t>MS100242</t>
  </si>
  <si>
    <t>MS100243</t>
  </si>
  <si>
    <t>MS100244</t>
  </si>
  <si>
    <t>MS100245</t>
  </si>
  <si>
    <t>MS100246</t>
  </si>
  <si>
    <t>MS100247</t>
  </si>
  <si>
    <t>MS100248</t>
  </si>
  <si>
    <t>MS100249</t>
  </si>
  <si>
    <t>MS100250</t>
  </si>
  <si>
    <t>MS100251</t>
  </si>
  <si>
    <t>MS100252</t>
  </si>
  <si>
    <t>MS100253</t>
  </si>
  <si>
    <t>MS100254</t>
  </si>
  <si>
    <t>MS100255</t>
  </si>
  <si>
    <t>MS100256</t>
  </si>
  <si>
    <t>MS100257</t>
  </si>
  <si>
    <t>MS100258</t>
  </si>
  <si>
    <t>MS100259</t>
  </si>
  <si>
    <t>MS100260</t>
  </si>
  <si>
    <t>MS100261</t>
  </si>
  <si>
    <t>MS100262</t>
  </si>
  <si>
    <t>MS100263</t>
  </si>
  <si>
    <t>MS100264</t>
  </si>
  <si>
    <t>MS100265</t>
  </si>
  <si>
    <t>MS100266</t>
  </si>
  <si>
    <t>MS100267</t>
  </si>
  <si>
    <t>MS100268</t>
  </si>
  <si>
    <t>MS100269</t>
  </si>
  <si>
    <t>MS100270</t>
  </si>
  <si>
    <t>MS100271</t>
  </si>
  <si>
    <t>MS100272</t>
  </si>
  <si>
    <t>MS100273</t>
  </si>
  <si>
    <t>MS100274</t>
  </si>
  <si>
    <t>MS100275</t>
  </si>
  <si>
    <t>MS100276</t>
  </si>
  <si>
    <t>MS100277</t>
  </si>
  <si>
    <t>MS100278</t>
  </si>
  <si>
    <t>MS100279</t>
  </si>
  <si>
    <t>MS100280</t>
  </si>
  <si>
    <t>MS100281</t>
  </si>
  <si>
    <t>MS100282</t>
  </si>
  <si>
    <t>MS100283</t>
  </si>
  <si>
    <t>MS100284</t>
  </si>
  <si>
    <t>MS100285</t>
  </si>
  <si>
    <t>MS100286</t>
  </si>
  <si>
    <t>MS100287</t>
  </si>
  <si>
    <t>MS100288</t>
  </si>
  <si>
    <t>MS100289</t>
  </si>
  <si>
    <t>MS100290</t>
  </si>
  <si>
    <t>MS100291</t>
  </si>
  <si>
    <t>MS100292</t>
  </si>
  <si>
    <t>MS100293</t>
  </si>
  <si>
    <t>MS100294</t>
  </si>
  <si>
    <t>MS100295</t>
  </si>
  <si>
    <t>MS100296</t>
  </si>
  <si>
    <t>MS100297</t>
  </si>
  <si>
    <t>MS100298</t>
  </si>
  <si>
    <t>MS100299</t>
  </si>
  <si>
    <t>MS100300</t>
  </si>
  <si>
    <t>MS100301</t>
  </si>
  <si>
    <t>MS100302</t>
  </si>
  <si>
    <t>MS100303</t>
  </si>
  <si>
    <t>MS100304</t>
  </si>
  <si>
    <t>MS100305</t>
  </si>
  <si>
    <t>MS100306</t>
  </si>
  <si>
    <t>MS100307</t>
  </si>
  <si>
    <t>MS100308</t>
  </si>
  <si>
    <t>MS100309</t>
  </si>
  <si>
    <t>MS100310</t>
  </si>
  <si>
    <t>MS100311</t>
  </si>
  <si>
    <t>MS100312</t>
  </si>
  <si>
    <t>MS100313</t>
  </si>
  <si>
    <t>MS100314</t>
  </si>
  <si>
    <t>MS100315</t>
  </si>
  <si>
    <t>MS100316</t>
  </si>
  <si>
    <t>MS100317</t>
  </si>
  <si>
    <t>MS100318</t>
  </si>
  <si>
    <t>MS100319</t>
  </si>
  <si>
    <t>MS100320</t>
  </si>
  <si>
    <t>MS100321</t>
  </si>
  <si>
    <t>MS100322</t>
  </si>
  <si>
    <t>MS100323</t>
  </si>
  <si>
    <t>MS100324</t>
  </si>
  <si>
    <t>MS100325</t>
  </si>
  <si>
    <t>MS100326</t>
  </si>
  <si>
    <t>MS100327</t>
  </si>
  <si>
    <t>MS100328</t>
  </si>
  <si>
    <t>MS100329</t>
  </si>
  <si>
    <t>MS100330</t>
  </si>
  <si>
    <t>MS100331</t>
  </si>
  <si>
    <t>MS100332</t>
  </si>
  <si>
    <t>MS100333</t>
  </si>
  <si>
    <t>MS100334</t>
  </si>
  <si>
    <t>MS100335</t>
  </si>
  <si>
    <t>MS100336</t>
  </si>
  <si>
    <t>MS100337</t>
  </si>
  <si>
    <t>MS100338</t>
  </si>
  <si>
    <t>MS100339</t>
  </si>
  <si>
    <t>MS100340</t>
  </si>
  <si>
    <t>MS100341</t>
  </si>
  <si>
    <t>MS100342</t>
  </si>
  <si>
    <t>MS100343</t>
  </si>
  <si>
    <t>MS100344</t>
  </si>
  <si>
    <t>MS100345</t>
  </si>
  <si>
    <t>MS100346</t>
  </si>
  <si>
    <t>MS100347</t>
  </si>
  <si>
    <t>MS100348</t>
  </si>
  <si>
    <t>MS100349</t>
  </si>
  <si>
    <t>MS100350</t>
  </si>
  <si>
    <t>MS100351</t>
  </si>
  <si>
    <t>MS100352</t>
  </si>
  <si>
    <t>MS100353</t>
  </si>
  <si>
    <t>MS100354</t>
  </si>
  <si>
    <t>MS100355</t>
  </si>
  <si>
    <t>MS100356</t>
  </si>
  <si>
    <t>MS100357</t>
  </si>
  <si>
    <t>MS100358</t>
  </si>
  <si>
    <t>MS100359</t>
  </si>
  <si>
    <t>MS100360</t>
  </si>
  <si>
    <t>MS100361</t>
  </si>
  <si>
    <t>MS100362</t>
  </si>
  <si>
    <t>MS100363</t>
  </si>
  <si>
    <t>MS100364</t>
  </si>
  <si>
    <t>MS100365</t>
  </si>
  <si>
    <t>MS100366</t>
  </si>
  <si>
    <t>MS100367</t>
  </si>
  <si>
    <t>MS100368</t>
  </si>
  <si>
    <t>MS100369</t>
  </si>
  <si>
    <t>MS100370</t>
  </si>
  <si>
    <t>MS100371</t>
  </si>
  <si>
    <t>MS100372</t>
  </si>
  <si>
    <t>MS100373</t>
  </si>
  <si>
    <t>MS100374</t>
  </si>
  <si>
    <t>MS100375</t>
  </si>
  <si>
    <t>MS100376</t>
  </si>
  <si>
    <t>MS100377</t>
  </si>
  <si>
    <t>MS100378</t>
  </si>
  <si>
    <t>MS100379</t>
  </si>
  <si>
    <t>MS100380</t>
  </si>
  <si>
    <t>MS100381</t>
  </si>
  <si>
    <t>MS100382</t>
  </si>
  <si>
    <t>MS100383</t>
  </si>
  <si>
    <t>MS100384</t>
  </si>
  <si>
    <t>MS100385</t>
  </si>
  <si>
    <t>MS100386</t>
  </si>
  <si>
    <t>MS100387</t>
  </si>
  <si>
    <t>MS100388</t>
  </si>
  <si>
    <t>MS100389</t>
  </si>
  <si>
    <t>MS100390</t>
  </si>
  <si>
    <t>MS100391</t>
  </si>
  <si>
    <t>MS100392</t>
  </si>
  <si>
    <t>MS100393</t>
  </si>
  <si>
    <t>MS100394</t>
  </si>
  <si>
    <t>MS100395</t>
  </si>
  <si>
    <t>MS100396</t>
  </si>
  <si>
    <t>MS100397</t>
  </si>
  <si>
    <t>MS100398</t>
  </si>
  <si>
    <t>MS100399</t>
  </si>
  <si>
    <t>MS100400</t>
  </si>
  <si>
    <t>MS100401</t>
  </si>
  <si>
    <t>MS100402</t>
  </si>
  <si>
    <t>MS100403</t>
  </si>
  <si>
    <t>MS100404</t>
  </si>
  <si>
    <t>MS100405</t>
  </si>
  <si>
    <t>MS100406</t>
  </si>
  <si>
    <t>MS100407</t>
  </si>
  <si>
    <t>MS100408</t>
  </si>
  <si>
    <t>MS100409</t>
  </si>
  <si>
    <t>MS100410</t>
  </si>
  <si>
    <t>MS100411</t>
  </si>
  <si>
    <t>MS100412</t>
  </si>
  <si>
    <t>MS100413</t>
  </si>
  <si>
    <t>MS100414</t>
  </si>
  <si>
    <t>MS100415</t>
  </si>
  <si>
    <t>MS100416</t>
  </si>
  <si>
    <t>MS100417</t>
  </si>
  <si>
    <t>MS100418</t>
  </si>
  <si>
    <t>MS100419</t>
  </si>
  <si>
    <t>MS100420</t>
  </si>
  <si>
    <t>MS100421</t>
  </si>
  <si>
    <t>MS100422</t>
  </si>
  <si>
    <t>MS100423</t>
  </si>
  <si>
    <t>MS100424</t>
  </si>
  <si>
    <t>MS100425</t>
  </si>
  <si>
    <t>MS100426</t>
  </si>
  <si>
    <t>MS100427</t>
  </si>
  <si>
    <t>MS100428</t>
  </si>
  <si>
    <t>MS100429</t>
  </si>
  <si>
    <t>MS100430</t>
  </si>
  <si>
    <t>MS100431</t>
  </si>
  <si>
    <t>MS100432</t>
  </si>
  <si>
    <t>MS100433</t>
  </si>
  <si>
    <t>MS100434</t>
  </si>
  <si>
    <t>MS100435</t>
  </si>
  <si>
    <t>MS100436</t>
  </si>
  <si>
    <t>MS100437</t>
  </si>
  <si>
    <t>MS100438</t>
  </si>
  <si>
    <t>MS100439</t>
  </si>
  <si>
    <t>MS100440</t>
  </si>
  <si>
    <t>MS100441</t>
  </si>
  <si>
    <t>MS100442</t>
  </si>
  <si>
    <t>MS100443</t>
  </si>
  <si>
    <t>MS100444</t>
  </si>
  <si>
    <t>MS100445</t>
  </si>
  <si>
    <t>MS100446</t>
  </si>
  <si>
    <t>MS100447</t>
  </si>
  <si>
    <t>MS100448</t>
  </si>
  <si>
    <t>MS100449</t>
  </si>
  <si>
    <t>MS100450</t>
  </si>
  <si>
    <t>MS100451</t>
  </si>
  <si>
    <t>MS100452</t>
  </si>
  <si>
    <t>MS100453</t>
  </si>
  <si>
    <t>MS100454</t>
  </si>
  <si>
    <t>MS100455</t>
  </si>
  <si>
    <t>MS100456</t>
  </si>
  <si>
    <t>MS100457</t>
  </si>
  <si>
    <t>MS100458</t>
  </si>
  <si>
    <t>MS100459</t>
  </si>
  <si>
    <t>MS100460</t>
  </si>
  <si>
    <t>MS100461</t>
  </si>
  <si>
    <t>MS100462</t>
  </si>
  <si>
    <t>MS100463</t>
  </si>
  <si>
    <t>MS100464</t>
  </si>
  <si>
    <t>MS100465</t>
  </si>
  <si>
    <t>MS100466</t>
  </si>
  <si>
    <t>MS100467</t>
  </si>
  <si>
    <t>MS100468</t>
  </si>
  <si>
    <t>MS100469</t>
  </si>
  <si>
    <t>MS100470</t>
  </si>
  <si>
    <t>MS100471</t>
  </si>
  <si>
    <t>MS100472</t>
  </si>
  <si>
    <t>MS100473</t>
  </si>
  <si>
    <t>MS100474</t>
  </si>
  <si>
    <t>MS100475</t>
  </si>
  <si>
    <t>MS100476</t>
  </si>
  <si>
    <t>MS100477</t>
  </si>
  <si>
    <t>MS100478</t>
  </si>
  <si>
    <t>MS100479</t>
  </si>
  <si>
    <t>MS100480</t>
  </si>
  <si>
    <t>MS100481</t>
  </si>
  <si>
    <t>MS100482</t>
  </si>
  <si>
    <t>MS100483</t>
  </si>
  <si>
    <t>MS100484</t>
  </si>
  <si>
    <t>MS100485</t>
  </si>
  <si>
    <t>MS100486</t>
  </si>
  <si>
    <t>MS100487</t>
  </si>
  <si>
    <t>MS100488</t>
  </si>
  <si>
    <t>MS100489</t>
  </si>
  <si>
    <t>MS100490</t>
  </si>
  <si>
    <t>MS100491</t>
  </si>
  <si>
    <t>MS100492</t>
  </si>
  <si>
    <t>MS100493</t>
  </si>
  <si>
    <t>MS100494</t>
  </si>
  <si>
    <t>MS100495</t>
  </si>
  <si>
    <t>MS100496</t>
  </si>
  <si>
    <t>MS100497</t>
  </si>
  <si>
    <t>MS100498</t>
  </si>
  <si>
    <t>MS100499</t>
  </si>
  <si>
    <t>MS100500</t>
  </si>
  <si>
    <t>MS100501</t>
  </si>
  <si>
    <t>MS100502</t>
  </si>
  <si>
    <t>MS100503</t>
  </si>
  <si>
    <t>MS100504</t>
  </si>
  <si>
    <t>MS100505</t>
  </si>
  <si>
    <t>MS100506</t>
  </si>
  <si>
    <t>MS100507</t>
  </si>
  <si>
    <t>MS100508</t>
  </si>
  <si>
    <t>MS100509</t>
  </si>
  <si>
    <t>MS100510</t>
  </si>
  <si>
    <t>MS100511</t>
  </si>
  <si>
    <t>MS100512</t>
  </si>
  <si>
    <t>MS100513</t>
  </si>
  <si>
    <t>MS100514</t>
  </si>
  <si>
    <t>MS100515</t>
  </si>
  <si>
    <t>MS100516</t>
  </si>
  <si>
    <t>MS100517</t>
  </si>
  <si>
    <t>MS100518</t>
  </si>
  <si>
    <t>MS100519</t>
  </si>
  <si>
    <t>MS100520</t>
  </si>
  <si>
    <t>MS100521</t>
  </si>
  <si>
    <t>MS100522</t>
  </si>
  <si>
    <t>MS100523</t>
  </si>
  <si>
    <t>MS100524</t>
  </si>
  <si>
    <t>MS100525</t>
  </si>
  <si>
    <t>MS100526</t>
  </si>
  <si>
    <t>MS100527</t>
  </si>
  <si>
    <t>MS100528</t>
  </si>
  <si>
    <t>MS100529</t>
  </si>
  <si>
    <t>MS100530</t>
  </si>
  <si>
    <t>MS100531</t>
  </si>
  <si>
    <t>MS100532</t>
  </si>
  <si>
    <t>MS100533</t>
  </si>
  <si>
    <t>MS100534</t>
  </si>
  <si>
    <t>MS100535</t>
  </si>
  <si>
    <t>MS100536</t>
  </si>
  <si>
    <t>MS100537</t>
  </si>
  <si>
    <t>MS100538</t>
  </si>
  <si>
    <t>MS100539</t>
  </si>
  <si>
    <t>MS100540</t>
  </si>
  <si>
    <t>MS100541</t>
  </si>
  <si>
    <t>MS100542</t>
  </si>
  <si>
    <t>MS100543</t>
  </si>
  <si>
    <t>MS100544</t>
  </si>
  <si>
    <t>MS100545</t>
  </si>
  <si>
    <t>MS100546</t>
  </si>
  <si>
    <t>MS100547</t>
  </si>
  <si>
    <t>MS100548</t>
  </si>
  <si>
    <t>MS100549</t>
  </si>
  <si>
    <t>MS100550</t>
  </si>
  <si>
    <t>MS100551</t>
  </si>
  <si>
    <t>MS100552</t>
  </si>
  <si>
    <t>MS100553</t>
  </si>
  <si>
    <t>MS100554</t>
  </si>
  <si>
    <t>MS100555</t>
  </si>
  <si>
    <t>MS100556</t>
  </si>
  <si>
    <t>MS100557</t>
  </si>
  <si>
    <t>MS100558</t>
  </si>
  <si>
    <t>MS100559</t>
  </si>
  <si>
    <t>MS100560</t>
  </si>
  <si>
    <t>MS100561</t>
  </si>
  <si>
    <t>MS100562</t>
  </si>
  <si>
    <t>MS100563</t>
  </si>
  <si>
    <t>MS100564</t>
  </si>
  <si>
    <t>MS100565</t>
  </si>
  <si>
    <t>MS100566</t>
  </si>
  <si>
    <t>MS100567</t>
  </si>
  <si>
    <t>MS100568</t>
  </si>
  <si>
    <t>MS100569</t>
  </si>
  <si>
    <t>MS100570</t>
  </si>
  <si>
    <t>MS100571</t>
  </si>
  <si>
    <t>MS100572</t>
  </si>
  <si>
    <t>MS100573</t>
  </si>
  <si>
    <t>MS100574</t>
  </si>
  <si>
    <t>MS100575</t>
  </si>
  <si>
    <t>MS100576</t>
  </si>
  <si>
    <t>MS100577</t>
  </si>
  <si>
    <t>MS100578</t>
  </si>
  <si>
    <t>MS100579</t>
  </si>
  <si>
    <t>MS100580</t>
  </si>
  <si>
    <t>MS100581</t>
  </si>
  <si>
    <t>MS100582</t>
  </si>
  <si>
    <t>MS100583</t>
  </si>
  <si>
    <t>MS100584</t>
  </si>
  <si>
    <t>MS100585</t>
  </si>
  <si>
    <t>MS100586</t>
  </si>
  <si>
    <t>MS100587</t>
  </si>
  <si>
    <t>MS100588</t>
  </si>
  <si>
    <t>MS100589</t>
  </si>
  <si>
    <t>MS100590</t>
  </si>
  <si>
    <t>MS100591</t>
  </si>
  <si>
    <t>MS100592</t>
  </si>
  <si>
    <t>MS100593</t>
  </si>
  <si>
    <t>MS100594</t>
  </si>
  <si>
    <t>MS100595</t>
  </si>
  <si>
    <t>MS100596</t>
  </si>
  <si>
    <t>MS100597</t>
  </si>
  <si>
    <t>MS100598</t>
  </si>
  <si>
    <t>MS100599</t>
  </si>
  <si>
    <t>MS100600</t>
  </si>
  <si>
    <t>MS100601</t>
  </si>
  <si>
    <t>MS100602</t>
  </si>
  <si>
    <t>MS100603</t>
  </si>
  <si>
    <t>MS100604</t>
  </si>
  <si>
    <t>MS100605</t>
  </si>
  <si>
    <t>MS100606</t>
  </si>
  <si>
    <t>MS100607</t>
  </si>
  <si>
    <t>MS100608</t>
  </si>
  <si>
    <t>MS100609</t>
  </si>
  <si>
    <t>MS100610</t>
  </si>
  <si>
    <t>MS100611</t>
  </si>
  <si>
    <t>MS100612</t>
  </si>
  <si>
    <t>MS100613</t>
  </si>
  <si>
    <t>MS100614</t>
  </si>
  <si>
    <t>MS100615</t>
  </si>
  <si>
    <t>MS100616</t>
  </si>
  <si>
    <t>MS100617</t>
  </si>
  <si>
    <t>MS100618</t>
  </si>
  <si>
    <t>MS100619</t>
  </si>
  <si>
    <t>MS100620</t>
  </si>
  <si>
    <t>MS100621</t>
  </si>
  <si>
    <t>MS100622</t>
  </si>
  <si>
    <t>MS100623</t>
  </si>
  <si>
    <t>MS100624</t>
  </si>
  <si>
    <t>MS100625</t>
  </si>
  <si>
    <t>MS100626</t>
  </si>
  <si>
    <t>MS100627</t>
  </si>
  <si>
    <t>MS100628</t>
  </si>
  <si>
    <t>MS100629</t>
  </si>
  <si>
    <t>MS100630</t>
  </si>
  <si>
    <t>MS100631</t>
  </si>
  <si>
    <t>MS100632</t>
  </si>
  <si>
    <t>MS100633</t>
  </si>
  <si>
    <t>MS100634</t>
  </si>
  <si>
    <t>MS100635</t>
  </si>
  <si>
    <t>MS100636</t>
  </si>
  <si>
    <t>MS100637</t>
  </si>
  <si>
    <t>MS100638</t>
  </si>
  <si>
    <t>MS100639</t>
  </si>
  <si>
    <t>MS100640</t>
  </si>
  <si>
    <t>MS100641</t>
  </si>
  <si>
    <t>MS100642</t>
  </si>
  <si>
    <t>MS100643</t>
  </si>
  <si>
    <t>MS100644</t>
  </si>
  <si>
    <t>MS100645</t>
  </si>
  <si>
    <t>MS100646</t>
  </si>
  <si>
    <t>MS100647</t>
  </si>
  <si>
    <t>MS100648</t>
  </si>
  <si>
    <t>MS100649</t>
  </si>
  <si>
    <t>MS100650</t>
  </si>
  <si>
    <t>MS100651</t>
  </si>
  <si>
    <t>MS100652</t>
  </si>
  <si>
    <t>MS100653</t>
  </si>
  <si>
    <t>MS100654</t>
  </si>
  <si>
    <t>MS100655</t>
  </si>
  <si>
    <t>MS100656</t>
  </si>
  <si>
    <t>MS100657</t>
  </si>
  <si>
    <t>MS100658</t>
  </si>
  <si>
    <t>MS100659</t>
  </si>
  <si>
    <t>MS100660</t>
  </si>
  <si>
    <t>MS100661</t>
  </si>
  <si>
    <t>MS100662</t>
  </si>
  <si>
    <t>MS100663</t>
  </si>
  <si>
    <t>MS100664</t>
  </si>
  <si>
    <t>MS100665</t>
  </si>
  <si>
    <t>MS100666</t>
  </si>
  <si>
    <t>MS100667</t>
  </si>
  <si>
    <t>MS100668</t>
  </si>
  <si>
    <t>MS100669</t>
  </si>
  <si>
    <t>MS100670</t>
  </si>
  <si>
    <t>MS100671</t>
  </si>
  <si>
    <t>MS100672</t>
  </si>
  <si>
    <t>MS100673</t>
  </si>
  <si>
    <t>MS100674</t>
  </si>
  <si>
    <t>MS100675</t>
  </si>
  <si>
    <t>MS100676</t>
  </si>
  <si>
    <t>MS100677</t>
  </si>
  <si>
    <t>MS100678</t>
  </si>
  <si>
    <t>MS100679</t>
  </si>
  <si>
    <t>MS100680</t>
  </si>
  <si>
    <t>MS100681</t>
  </si>
  <si>
    <t>MS100682</t>
  </si>
  <si>
    <t>MS100683</t>
  </si>
  <si>
    <t>MS100684</t>
  </si>
  <si>
    <t>MS100685</t>
  </si>
  <si>
    <t>MS100686</t>
  </si>
  <si>
    <t>MS100687</t>
  </si>
  <si>
    <t>MS100688</t>
  </si>
  <si>
    <t>MS100689</t>
  </si>
  <si>
    <t>MS100690</t>
  </si>
  <si>
    <t>MS100691</t>
  </si>
  <si>
    <t>MS100692</t>
  </si>
  <si>
    <t>MS100693</t>
  </si>
  <si>
    <t>MS100694</t>
  </si>
  <si>
    <t>MS100695</t>
  </si>
  <si>
    <t>MS100696</t>
  </si>
  <si>
    <t>MS100697</t>
  </si>
  <si>
    <t>MS100698</t>
  </si>
  <si>
    <t>MS100699</t>
  </si>
  <si>
    <t>MS100700</t>
  </si>
  <si>
    <t>MS100701</t>
  </si>
  <si>
    <t>MS100702</t>
  </si>
  <si>
    <t>MS100703</t>
  </si>
  <si>
    <t>MS100704</t>
  </si>
  <si>
    <t>MS100705</t>
  </si>
  <si>
    <t>MS100706</t>
  </si>
  <si>
    <t>MS100707</t>
  </si>
  <si>
    <t>MS100708</t>
  </si>
  <si>
    <t>MS100709</t>
  </si>
  <si>
    <t>MS100710</t>
  </si>
  <si>
    <t>MS100711</t>
  </si>
  <si>
    <t>MS100712</t>
  </si>
  <si>
    <t>MS100713</t>
  </si>
  <si>
    <t>MS100714</t>
  </si>
  <si>
    <t>MS100715</t>
  </si>
  <si>
    <t>MS100716</t>
  </si>
  <si>
    <t>MS100717</t>
  </si>
  <si>
    <t>MS100718</t>
  </si>
  <si>
    <t>MS100719</t>
  </si>
  <si>
    <t>MS100720</t>
  </si>
  <si>
    <t>MS100721</t>
  </si>
  <si>
    <t>MS100722</t>
  </si>
  <si>
    <t>MS100723</t>
  </si>
  <si>
    <t>MS100724</t>
  </si>
  <si>
    <t>MS100725</t>
  </si>
  <si>
    <t>MS100726</t>
  </si>
  <si>
    <t>MS100727</t>
  </si>
  <si>
    <t>MS100728</t>
  </si>
  <si>
    <t>MS100729</t>
  </si>
  <si>
    <t>MS100730</t>
  </si>
  <si>
    <t>MS100731</t>
  </si>
  <si>
    <t>MS100732</t>
  </si>
  <si>
    <t>MS100733</t>
  </si>
  <si>
    <t>MS100734</t>
  </si>
  <si>
    <t>MS100735</t>
  </si>
  <si>
    <t>MS100736</t>
  </si>
  <si>
    <t>MS100737</t>
  </si>
  <si>
    <t>MS100738</t>
  </si>
  <si>
    <t>MS100739</t>
  </si>
  <si>
    <t>MS100740</t>
  </si>
  <si>
    <t>MS100741</t>
  </si>
  <si>
    <t>MS100742</t>
  </si>
  <si>
    <t>MS100743</t>
  </si>
  <si>
    <t>MS100744</t>
  </si>
  <si>
    <t>MS100745</t>
  </si>
  <si>
    <t>MS100746</t>
  </si>
  <si>
    <t>MS100747</t>
  </si>
  <si>
    <t>MS100748</t>
  </si>
  <si>
    <t>MS100749</t>
  </si>
  <si>
    <t>MS100750</t>
  </si>
  <si>
    <t>MS100751</t>
  </si>
  <si>
    <t>MS100752</t>
  </si>
  <si>
    <t>MS100753</t>
  </si>
  <si>
    <t>MS100754</t>
  </si>
  <si>
    <t>MS100755</t>
  </si>
  <si>
    <t>MS100756</t>
  </si>
  <si>
    <t>MS100757</t>
  </si>
  <si>
    <t>MS100758</t>
  </si>
  <si>
    <t>MS100759</t>
  </si>
  <si>
    <t>MS100760</t>
  </si>
  <si>
    <t>MS100761</t>
  </si>
  <si>
    <t>MS100762</t>
  </si>
  <si>
    <t>MS100763</t>
  </si>
  <si>
    <t>MS100764</t>
  </si>
  <si>
    <t>MS100765</t>
  </si>
  <si>
    <t>MS100766</t>
  </si>
  <si>
    <t>MS100767</t>
  </si>
  <si>
    <t>MS100768</t>
  </si>
  <si>
    <t>MS100769</t>
  </si>
  <si>
    <t>MS100770</t>
  </si>
  <si>
    <t>MS100771</t>
  </si>
  <si>
    <t>MS100772</t>
  </si>
  <si>
    <t>MS100773</t>
  </si>
  <si>
    <t>MS100774</t>
  </si>
  <si>
    <t>MS100775</t>
  </si>
  <si>
    <t>MS100776</t>
  </si>
  <si>
    <t>MS100777</t>
  </si>
  <si>
    <t>MS100778</t>
  </si>
  <si>
    <t>MS100779</t>
  </si>
  <si>
    <t>MS100780</t>
  </si>
  <si>
    <t>MS100781</t>
  </si>
  <si>
    <t>MS100782</t>
  </si>
  <si>
    <t>MS100783</t>
  </si>
  <si>
    <t>MS100784</t>
  </si>
  <si>
    <t>MS100785</t>
  </si>
  <si>
    <t>MS100786</t>
  </si>
  <si>
    <t>MS100787</t>
  </si>
  <si>
    <t>MS100788</t>
  </si>
  <si>
    <t>MS100789</t>
  </si>
  <si>
    <t>MS100790</t>
  </si>
  <si>
    <t>MS100791</t>
  </si>
  <si>
    <t>MS100792</t>
  </si>
  <si>
    <t>MS100793</t>
  </si>
  <si>
    <t>MS100794</t>
  </si>
  <si>
    <t>MS100795</t>
  </si>
  <si>
    <t>MS100796</t>
  </si>
  <si>
    <t>MS100797</t>
  </si>
  <si>
    <t>MS100798</t>
  </si>
  <si>
    <t>MS100799</t>
  </si>
  <si>
    <t>MS100800</t>
  </si>
  <si>
    <t>MS100801</t>
  </si>
  <si>
    <t>MS100802</t>
  </si>
  <si>
    <t>MS100803</t>
  </si>
  <si>
    <t>MS100804</t>
  </si>
  <si>
    <t>MS100805</t>
  </si>
  <si>
    <t>MS100806</t>
  </si>
  <si>
    <t>MS100807</t>
  </si>
  <si>
    <t>MS100808</t>
  </si>
  <si>
    <t>MS100809</t>
  </si>
  <si>
    <t>MS100810</t>
  </si>
  <si>
    <t>MS100811</t>
  </si>
  <si>
    <t>MS100812</t>
  </si>
  <si>
    <t>MS100813</t>
  </si>
  <si>
    <t>MS100814</t>
  </si>
  <si>
    <t>MS100815</t>
  </si>
  <si>
    <t>MS100816</t>
  </si>
  <si>
    <t>MS100817</t>
  </si>
  <si>
    <t>MS100818</t>
  </si>
  <si>
    <t>MS100819</t>
  </si>
  <si>
    <t>MS100820</t>
  </si>
  <si>
    <t>MS100821</t>
  </si>
  <si>
    <t>MS100822</t>
  </si>
  <si>
    <t>MS100823</t>
  </si>
  <si>
    <t>MS100824</t>
  </si>
  <si>
    <t>MS100825</t>
  </si>
  <si>
    <t>MS100826</t>
  </si>
  <si>
    <t>MS100827</t>
  </si>
  <si>
    <t>MS100828</t>
  </si>
  <si>
    <t>MS100829</t>
  </si>
  <si>
    <t>MS100830</t>
  </si>
  <si>
    <t>MS100831</t>
  </si>
  <si>
    <t>MS100832</t>
  </si>
  <si>
    <t>MS100833</t>
  </si>
  <si>
    <t>MS100834</t>
  </si>
  <si>
    <t>MS100835</t>
  </si>
  <si>
    <t>MS100836</t>
  </si>
  <si>
    <t>MS100837</t>
  </si>
  <si>
    <t>MS100838</t>
  </si>
  <si>
    <t>MS100839</t>
  </si>
  <si>
    <t>MS100840</t>
  </si>
  <si>
    <t>MS100841</t>
  </si>
  <si>
    <t>MS100842</t>
  </si>
  <si>
    <t>MS100843</t>
  </si>
  <si>
    <t>MS100844</t>
  </si>
  <si>
    <t>MS100845</t>
  </si>
  <si>
    <t>MS100846</t>
  </si>
  <si>
    <t>MS100847</t>
  </si>
  <si>
    <t>MS100848</t>
  </si>
  <si>
    <t>MS100849</t>
  </si>
  <si>
    <t>MS100850</t>
  </si>
  <si>
    <t>MS100851</t>
  </si>
  <si>
    <t>MS100852</t>
  </si>
  <si>
    <t>MS100853</t>
  </si>
  <si>
    <t>MS100854</t>
  </si>
  <si>
    <t>MS100855</t>
  </si>
  <si>
    <t>MS100856</t>
  </si>
  <si>
    <t>MS100857</t>
  </si>
  <si>
    <t>MS100858</t>
  </si>
  <si>
    <t>MS100859</t>
  </si>
  <si>
    <t>MS100860</t>
  </si>
  <si>
    <t>MS100861</t>
  </si>
  <si>
    <t>MS100862</t>
  </si>
  <si>
    <t>MS100863</t>
  </si>
  <si>
    <t>MS100864</t>
  </si>
  <si>
    <t>MS100865</t>
  </si>
  <si>
    <t>MS100866</t>
  </si>
  <si>
    <t>MS100867</t>
  </si>
  <si>
    <t>MS100868</t>
  </si>
  <si>
    <t>MS100869</t>
  </si>
  <si>
    <t>MS100870</t>
  </si>
  <si>
    <t>MS100871</t>
  </si>
  <si>
    <t>MS100872</t>
  </si>
  <si>
    <t>MS100873</t>
  </si>
  <si>
    <t>MS100874</t>
  </si>
  <si>
    <t>MS100875</t>
  </si>
  <si>
    <t>MS100876</t>
  </si>
  <si>
    <t>MS100877</t>
  </si>
  <si>
    <t>MS100878</t>
  </si>
  <si>
    <t>MS100879</t>
  </si>
  <si>
    <t>MS100880</t>
  </si>
  <si>
    <t>MS100881</t>
  </si>
  <si>
    <t>MS100882</t>
  </si>
  <si>
    <t>MS100883</t>
  </si>
  <si>
    <t>MS100884</t>
  </si>
  <si>
    <t>MS100885</t>
  </si>
  <si>
    <t>MS100886</t>
  </si>
  <si>
    <t>MS100887</t>
  </si>
  <si>
    <t>MS100888</t>
  </si>
  <si>
    <t>MS100889</t>
  </si>
  <si>
    <t>MS100890</t>
  </si>
  <si>
    <t>MS100891</t>
  </si>
  <si>
    <t>MS100892</t>
  </si>
  <si>
    <t>MS100893</t>
  </si>
  <si>
    <t>MS100894</t>
  </si>
  <si>
    <t>MS100895</t>
  </si>
  <si>
    <t>MS100896</t>
  </si>
  <si>
    <t>MS100897</t>
  </si>
  <si>
    <t>MS100898</t>
  </si>
  <si>
    <t>MS100899</t>
  </si>
  <si>
    <t>MS100900</t>
  </si>
  <si>
    <t>MS100901</t>
  </si>
  <si>
    <t>MS100902</t>
  </si>
  <si>
    <t>MS100903</t>
  </si>
  <si>
    <t>MS100904</t>
  </si>
  <si>
    <t>MS100905</t>
  </si>
  <si>
    <t>MS100906</t>
  </si>
  <si>
    <t>MS100907</t>
  </si>
  <si>
    <t>MS100908</t>
  </si>
  <si>
    <t>MS100909</t>
  </si>
  <si>
    <t>MS100910</t>
  </si>
  <si>
    <t>MS100911</t>
  </si>
  <si>
    <t>MS100912</t>
  </si>
  <si>
    <t>MS100913</t>
  </si>
  <si>
    <t>MS100914</t>
  </si>
  <si>
    <t>MS100915</t>
  </si>
  <si>
    <t>MS100916</t>
  </si>
  <si>
    <t>MS100917</t>
  </si>
  <si>
    <t>MS100918</t>
  </si>
  <si>
    <t>MS100919</t>
  </si>
  <si>
    <t>MS100920</t>
  </si>
  <si>
    <t>MS100921</t>
  </si>
  <si>
    <t>MS100922</t>
  </si>
  <si>
    <t>MS100923</t>
  </si>
  <si>
    <t>MS100924</t>
  </si>
  <si>
    <t>MS100925</t>
  </si>
  <si>
    <t>MS100926</t>
  </si>
  <si>
    <t>MS100927</t>
  </si>
  <si>
    <t>MS100928</t>
  </si>
  <si>
    <t>MS100929</t>
  </si>
  <si>
    <t>MS100930</t>
  </si>
  <si>
    <t>MS100931</t>
  </si>
  <si>
    <t>MS100932</t>
  </si>
  <si>
    <t>MS100933</t>
  </si>
  <si>
    <t>MS100934</t>
  </si>
  <si>
    <t>MS100935</t>
  </si>
  <si>
    <t>MS100936</t>
  </si>
  <si>
    <t>MS100937</t>
  </si>
  <si>
    <t>MS100938</t>
  </si>
  <si>
    <t>MS100939</t>
  </si>
  <si>
    <t>MS100940</t>
  </si>
  <si>
    <t>MS100941</t>
  </si>
  <si>
    <t>MS100942</t>
  </si>
  <si>
    <t>MS100943</t>
  </si>
  <si>
    <t>MS100944</t>
  </si>
  <si>
    <t>MS100945</t>
  </si>
  <si>
    <t>MS100946</t>
  </si>
  <si>
    <t>MS100947</t>
  </si>
  <si>
    <t>MS100948</t>
  </si>
  <si>
    <t>MS100949</t>
  </si>
  <si>
    <t>MS100950</t>
  </si>
  <si>
    <t>MS100951</t>
  </si>
  <si>
    <t>MS100952</t>
  </si>
  <si>
    <t>MS100953</t>
  </si>
  <si>
    <t>MS100954</t>
  </si>
  <si>
    <t>MS100955</t>
  </si>
  <si>
    <t>MS100956</t>
  </si>
  <si>
    <t>MS100957</t>
  </si>
  <si>
    <t>MS100958</t>
  </si>
  <si>
    <t>MS100959</t>
  </si>
  <si>
    <t>MS100960</t>
  </si>
  <si>
    <t>MS100961</t>
  </si>
  <si>
    <t>MS100962</t>
  </si>
  <si>
    <t>MS100963</t>
  </si>
  <si>
    <t>MS100964</t>
  </si>
  <si>
    <t>MS100965</t>
  </si>
  <si>
    <t>MS100966</t>
  </si>
  <si>
    <t>MS100967</t>
  </si>
  <si>
    <t>MS100968</t>
  </si>
  <si>
    <t>MS100969</t>
  </si>
  <si>
    <t>MS100970</t>
  </si>
  <si>
    <t>MS100971</t>
  </si>
  <si>
    <t>MS100972</t>
  </si>
  <si>
    <t>MS100973</t>
  </si>
  <si>
    <t>MS100974</t>
  </si>
  <si>
    <t>MS100975</t>
  </si>
  <si>
    <t>MS100976</t>
  </si>
  <si>
    <t>MS100977</t>
  </si>
  <si>
    <t>MS100978</t>
  </si>
  <si>
    <t>MS100979</t>
  </si>
  <si>
    <t>MS100980</t>
  </si>
  <si>
    <t>MS100981</t>
  </si>
  <si>
    <t>MS100982</t>
  </si>
  <si>
    <t>MS100983</t>
  </si>
  <si>
    <t>MS100984</t>
  </si>
  <si>
    <t>MS100985</t>
  </si>
  <si>
    <t>MS100986</t>
  </si>
  <si>
    <t>MS100987</t>
  </si>
  <si>
    <t>MS100988</t>
  </si>
  <si>
    <t>MS100989</t>
  </si>
  <si>
    <t>MS100990</t>
  </si>
  <si>
    <t>MS100991</t>
  </si>
  <si>
    <t>MS100992</t>
  </si>
  <si>
    <t>MS100993</t>
  </si>
  <si>
    <t>MS100994</t>
  </si>
  <si>
    <t>MS100995</t>
  </si>
  <si>
    <t>MS100996</t>
  </si>
  <si>
    <t>MS100997</t>
  </si>
  <si>
    <t>MS100998</t>
  </si>
  <si>
    <t>MS100999</t>
  </si>
  <si>
    <t>Metric</t>
  </si>
  <si>
    <t>Value</t>
  </si>
  <si>
    <t>Total Sales</t>
  </si>
  <si>
    <t>Total Orders</t>
  </si>
  <si>
    <t>Units Sold</t>
  </si>
  <si>
    <t>Estimated Profit</t>
  </si>
  <si>
    <t>Average Order Value</t>
  </si>
  <si>
    <t>Return Rate</t>
  </si>
  <si>
    <t>Row Labels</t>
  </si>
  <si>
    <t>Grand Total</t>
  </si>
  <si>
    <t>Column Labels</t>
  </si>
  <si>
    <t>Count of Order_ID</t>
  </si>
  <si>
    <t>Sum of Sales_Amount</t>
  </si>
  <si>
    <t>Sum of Estimated_Profit</t>
  </si>
  <si>
    <t>Sum of Quantity</t>
  </si>
  <si>
    <t>Credit Card</t>
  </si>
  <si>
    <t>Debit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</si>
</sst>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3" x14ac:knownFonts="1">
    <font>
      <sz val="11"/>
      <color theme="1"/>
      <name val="Calibri"/>
      <family val="2"/>
      <scheme val="minor"/>
    </font>
    <font>
      <b/>
      <sz val="11"/>
      <color rgb="FFFFFFFF"/>
      <name val="Calibri"/>
    </font>
    <font>
      <b/>
      <sz val="11"/>
      <color rgb="FF1A1A1A"/>
      <name val="Calibri"/>
    </font>
  </fonts>
  <fills count="4">
    <fill>
      <patternFill patternType="none"/>
    </fill>
    <fill>
      <patternFill patternType="gray125"/>
    </fill>
    <fill>
      <patternFill patternType="solid">
        <fgColor rgb="FFE91E63"/>
      </patternFill>
    </fill>
    <fill>
      <patternFill patternType="solid">
        <fgColor rgb="FFFCE4E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1" fillId="2" borderId="1" xfId="0" applyFont="1" applyFill="1" applyBorder="1" applyAlignment="1">
      <alignment horizontal="center"/>
    </xf>
    <xf numFmtId="165" fontId="0" fillId="0" borderId="0" xfId="0" applyNumberFormat="1"/>
    <xf numFmtId="9" fontId="0" fillId="0" borderId="0" xfId="0" applyNumberFormat="1"/>
    <xf numFmtId="0" fontId="1" fillId="2" borderId="1" xfId="0" applyFont="1" applyFill="1" applyBorder="1" applyAlignment="1">
      <alignment horizontal="center" vertical="top"/>
    </xf>
    <xf numFmtId="0" fontId="2" fillId="3" borderId="0" xfId="0" applyFont="1" applyFill="1"/>
    <xf numFmtId="0" fontId="0" fillId="0" borderId="0" xfId="0" pivotButton="1"/>
    <xf numFmtId="0" fontId="0" fillId="0" borderId="0" xfId="0" applyAlignment="1">
      <alignment horizontal="left"/>
    </xf>
    <xf numFmtId="4" fontId="0" fillId="0" borderId="0" xfId="0" applyNumberFormat="1"/>
  </cellXfs>
  <cellStyles count="1">
    <cellStyle name="Normal" xfId="0" builtinId="0"/>
  </cellStyles>
  <dxfs count="0"/>
  <tableStyles count="0" defaultTableStyle="TableStyleMedium9" defaultPivotStyle="PivotStyleLight16"/>
  <colors>
    <mruColors>
      <color rgb="FF580A46"/>
      <color rgb="FFFFFF66"/>
      <color rgb="FFFFCD2F"/>
      <color rgb="FFC2188B"/>
      <color rgb="FFEADCF0"/>
      <color rgb="FFFF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Sheet4!$A$4:$A$13</c:f>
              <c:strCache>
                <c:ptCount val="9"/>
                <c:pt idx="0">
                  <c:v>Jan</c:v>
                </c:pt>
                <c:pt idx="1">
                  <c:v>Feb</c:v>
                </c:pt>
                <c:pt idx="2">
                  <c:v>Mar</c:v>
                </c:pt>
                <c:pt idx="3">
                  <c:v>Apr</c:v>
                </c:pt>
                <c:pt idx="4">
                  <c:v>May</c:v>
                </c:pt>
                <c:pt idx="5">
                  <c:v>Jun</c:v>
                </c:pt>
                <c:pt idx="6">
                  <c:v>Jul</c:v>
                </c:pt>
                <c:pt idx="7">
                  <c:v>Aug</c:v>
                </c:pt>
                <c:pt idx="8">
                  <c:v>Sep</c:v>
                </c:pt>
              </c:strCache>
            </c:strRef>
          </c:cat>
          <c:val>
            <c:numRef>
              <c:f>Sheet4!$B$4:$B$13</c:f>
              <c:numCache>
                <c:formatCode>\₹#,##0.00</c:formatCode>
                <c:ptCount val="9"/>
                <c:pt idx="0">
                  <c:v>56299</c:v>
                </c:pt>
                <c:pt idx="1">
                  <c:v>61624</c:v>
                </c:pt>
                <c:pt idx="2">
                  <c:v>43706</c:v>
                </c:pt>
                <c:pt idx="3">
                  <c:v>61906</c:v>
                </c:pt>
                <c:pt idx="4">
                  <c:v>63461</c:v>
                </c:pt>
                <c:pt idx="5">
                  <c:v>58113</c:v>
                </c:pt>
                <c:pt idx="6">
                  <c:v>50641</c:v>
                </c:pt>
                <c:pt idx="7">
                  <c:v>66788</c:v>
                </c:pt>
                <c:pt idx="8">
                  <c:v>39715</c:v>
                </c:pt>
              </c:numCache>
            </c:numRef>
          </c:val>
          <c:smooth val="0"/>
          <c:extLst>
            <c:ext xmlns:c16="http://schemas.microsoft.com/office/drawing/2014/chart" uri="{C3380CC4-5D6E-409C-BE32-E72D297353CC}">
              <c16:uniqueId val="{00000000-096B-472D-8A56-EEFF1A0F1B51}"/>
            </c:ext>
          </c:extLst>
        </c:ser>
        <c:dLbls>
          <c:showLegendKey val="0"/>
          <c:showVal val="0"/>
          <c:showCatName val="0"/>
          <c:showSerName val="0"/>
          <c:showPercent val="0"/>
          <c:showBubbleSize val="0"/>
        </c:dLbls>
        <c:smooth val="0"/>
        <c:axId val="134938032"/>
        <c:axId val="27148720"/>
      </c:lineChart>
      <c:catAx>
        <c:axId val="13493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8720"/>
        <c:crosses val="autoZero"/>
        <c:auto val="1"/>
        <c:lblAlgn val="ctr"/>
        <c:lblOffset val="100"/>
        <c:noMultiLvlLbl val="0"/>
      </c:catAx>
      <c:valAx>
        <c:axId val="2714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3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Sheet4!$O$7</c:f>
              <c:strCache>
                <c:ptCount val="1"/>
                <c:pt idx="0">
                  <c:v>Total</c:v>
                </c:pt>
              </c:strCache>
            </c:strRef>
          </c:tx>
          <c:spPr>
            <a:solidFill>
              <a:schemeClr val="accent1"/>
            </a:solidFill>
            <a:ln>
              <a:noFill/>
            </a:ln>
            <a:effectLst/>
          </c:spPr>
          <c:invertIfNegative val="0"/>
          <c:cat>
            <c:strRef>
              <c:f>Sheet4!$N$8:$N$18</c:f>
              <c:strCache>
                <c:ptCount val="10"/>
                <c:pt idx="0">
                  <c:v>Ahmedabad</c:v>
                </c:pt>
                <c:pt idx="1">
                  <c:v>Bengaluru</c:v>
                </c:pt>
                <c:pt idx="2">
                  <c:v>Delhi</c:v>
                </c:pt>
                <c:pt idx="3">
                  <c:v>Hyderabad</c:v>
                </c:pt>
                <c:pt idx="4">
                  <c:v>Jaipur</c:v>
                </c:pt>
                <c:pt idx="5">
                  <c:v>Kolkata</c:v>
                </c:pt>
                <c:pt idx="6">
                  <c:v>Lucknow</c:v>
                </c:pt>
                <c:pt idx="7">
                  <c:v>Mumbai</c:v>
                </c:pt>
                <c:pt idx="8">
                  <c:v>Nagpur</c:v>
                </c:pt>
                <c:pt idx="9">
                  <c:v>Pune</c:v>
                </c:pt>
              </c:strCache>
            </c:strRef>
          </c:cat>
          <c:val>
            <c:numRef>
              <c:f>Sheet4!$O$8:$O$18</c:f>
              <c:numCache>
                <c:formatCode>\₹#,##0.00</c:formatCode>
                <c:ptCount val="10"/>
                <c:pt idx="0">
                  <c:v>50587</c:v>
                </c:pt>
                <c:pt idx="1">
                  <c:v>44155</c:v>
                </c:pt>
                <c:pt idx="2">
                  <c:v>42826</c:v>
                </c:pt>
                <c:pt idx="3">
                  <c:v>49233</c:v>
                </c:pt>
                <c:pt idx="4">
                  <c:v>51011</c:v>
                </c:pt>
                <c:pt idx="5">
                  <c:v>38694</c:v>
                </c:pt>
                <c:pt idx="6">
                  <c:v>53663</c:v>
                </c:pt>
                <c:pt idx="7">
                  <c:v>65619</c:v>
                </c:pt>
                <c:pt idx="8">
                  <c:v>64512</c:v>
                </c:pt>
                <c:pt idx="9">
                  <c:v>41953</c:v>
                </c:pt>
              </c:numCache>
            </c:numRef>
          </c:val>
          <c:extLst>
            <c:ext xmlns:c16="http://schemas.microsoft.com/office/drawing/2014/chart" uri="{C3380CC4-5D6E-409C-BE32-E72D297353CC}">
              <c16:uniqueId val="{00000000-FE4F-4E79-8ACD-F84E7DD4D91C}"/>
            </c:ext>
          </c:extLst>
        </c:ser>
        <c:dLbls>
          <c:showLegendKey val="0"/>
          <c:showVal val="0"/>
          <c:showCatName val="0"/>
          <c:showSerName val="0"/>
          <c:showPercent val="0"/>
          <c:showBubbleSize val="0"/>
        </c:dLbls>
        <c:gapWidth val="219"/>
        <c:overlap val="-27"/>
        <c:axId val="120823856"/>
        <c:axId val="27101680"/>
      </c:barChart>
      <c:catAx>
        <c:axId val="12082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1680"/>
        <c:crosses val="autoZero"/>
        <c:auto val="1"/>
        <c:lblAlgn val="ctr"/>
        <c:lblOffset val="100"/>
        <c:noMultiLvlLbl val="0"/>
      </c:catAx>
      <c:valAx>
        <c:axId val="2710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Sheet4!$R$7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Sheet4!$Q$8:$Q$16</c:f>
              <c:strCache>
                <c:ptCount val="8"/>
                <c:pt idx="0">
                  <c:v>Accessories</c:v>
                </c:pt>
                <c:pt idx="1">
                  <c:v>Beauty</c:v>
                </c:pt>
                <c:pt idx="2">
                  <c:v>Footwear</c:v>
                </c:pt>
                <c:pt idx="3">
                  <c:v>Home &amp; Kitchen</c:v>
                </c:pt>
                <c:pt idx="4">
                  <c:v>Jewellery</c:v>
                </c:pt>
                <c:pt idx="5">
                  <c:v>Kids</c:v>
                </c:pt>
                <c:pt idx="6">
                  <c:v>Men Fashion</c:v>
                </c:pt>
                <c:pt idx="7">
                  <c:v>Women Fashion</c:v>
                </c:pt>
              </c:strCache>
            </c:strRef>
          </c:cat>
          <c:val>
            <c:numRef>
              <c:f>Sheet4!$R$8:$R$16</c:f>
              <c:numCache>
                <c:formatCode>#,##0.00</c:formatCode>
                <c:ptCount val="8"/>
                <c:pt idx="0">
                  <c:v>51910</c:v>
                </c:pt>
                <c:pt idx="1">
                  <c:v>27857</c:v>
                </c:pt>
                <c:pt idx="2">
                  <c:v>25378</c:v>
                </c:pt>
                <c:pt idx="3">
                  <c:v>97870</c:v>
                </c:pt>
                <c:pt idx="4">
                  <c:v>25138</c:v>
                </c:pt>
                <c:pt idx="5">
                  <c:v>43828</c:v>
                </c:pt>
                <c:pt idx="6">
                  <c:v>44522</c:v>
                </c:pt>
                <c:pt idx="7">
                  <c:v>185750</c:v>
                </c:pt>
              </c:numCache>
            </c:numRef>
          </c:val>
          <c:extLst>
            <c:ext xmlns:c16="http://schemas.microsoft.com/office/drawing/2014/chart" uri="{C3380CC4-5D6E-409C-BE32-E72D297353CC}">
              <c16:uniqueId val="{00000000-CF87-47BB-96BC-213FEAA2D73C}"/>
            </c:ext>
          </c:extLst>
        </c:ser>
        <c:dLbls>
          <c:showLegendKey val="0"/>
          <c:showVal val="0"/>
          <c:showCatName val="0"/>
          <c:showSerName val="0"/>
          <c:showPercent val="0"/>
          <c:showBubbleSize val="0"/>
        </c:dLbls>
        <c:gapWidth val="182"/>
        <c:axId val="123581152"/>
        <c:axId val="27104560"/>
      </c:barChart>
      <c:catAx>
        <c:axId val="12358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4560"/>
        <c:crosses val="autoZero"/>
        <c:auto val="1"/>
        <c:lblAlgn val="ctr"/>
        <c:lblOffset val="100"/>
        <c:noMultiLvlLbl val="0"/>
      </c:catAx>
      <c:valAx>
        <c:axId val="27104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Sheet4!$S$23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1-45D1-9E54-5A7D42DF4F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1-45D1-9E54-5A7D42DF4F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1-45D1-9E54-5A7D42DF4F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1-45D1-9E54-5A7D42DF4F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21-45D1-9E54-5A7D42DF4FA1}"/>
              </c:ext>
            </c:extLst>
          </c:dPt>
          <c:cat>
            <c:strRef>
              <c:f>Sheet4!$R$24:$R$29</c:f>
              <c:strCache>
                <c:ptCount val="5"/>
                <c:pt idx="0">
                  <c:v>Cancelled</c:v>
                </c:pt>
                <c:pt idx="1">
                  <c:v>Delivered</c:v>
                </c:pt>
                <c:pt idx="2">
                  <c:v>Pending</c:v>
                </c:pt>
                <c:pt idx="3">
                  <c:v>Returned</c:v>
                </c:pt>
                <c:pt idx="4">
                  <c:v>Shipped</c:v>
                </c:pt>
              </c:strCache>
            </c:strRef>
          </c:cat>
          <c:val>
            <c:numRef>
              <c:f>Sheet4!$S$24:$S$29</c:f>
              <c:numCache>
                <c:formatCode>General</c:formatCode>
                <c:ptCount val="5"/>
                <c:pt idx="0">
                  <c:v>51</c:v>
                </c:pt>
                <c:pt idx="1">
                  <c:v>651</c:v>
                </c:pt>
                <c:pt idx="2">
                  <c:v>81</c:v>
                </c:pt>
                <c:pt idx="3">
                  <c:v>78</c:v>
                </c:pt>
                <c:pt idx="4">
                  <c:v>139</c:v>
                </c:pt>
              </c:numCache>
            </c:numRef>
          </c:val>
          <c:extLst>
            <c:ext xmlns:c16="http://schemas.microsoft.com/office/drawing/2014/chart" uri="{C3380CC4-5D6E-409C-BE32-E72D297353CC}">
              <c16:uniqueId val="{00000000-39CB-4150-ADAB-18385D4E04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580A46"/>
                </a:solidFill>
              </a:rPr>
              <a:t>MONTHLY </a:t>
            </a:r>
            <a:r>
              <a:rPr lang="en-IN" sz="1400" b="1" i="0" u="none" strike="noStrike" cap="none" baseline="0">
                <a:solidFill>
                  <a:srgbClr val="580A46"/>
                </a:solidFill>
              </a:rPr>
              <a:t>SALES TREND</a:t>
            </a:r>
            <a:r>
              <a:rPr lang="en-US" b="1" baseline="0">
                <a:solidFill>
                  <a:srgbClr val="580A46"/>
                </a:solidFill>
              </a:rPr>
              <a:t> </a:t>
            </a:r>
            <a:endParaRPr lang="en-US" b="1">
              <a:solidFill>
                <a:srgbClr val="580A46"/>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Sheet4!$A$4:$A$13</c:f>
              <c:strCache>
                <c:ptCount val="9"/>
                <c:pt idx="0">
                  <c:v>Jan</c:v>
                </c:pt>
                <c:pt idx="1">
                  <c:v>Feb</c:v>
                </c:pt>
                <c:pt idx="2">
                  <c:v>Mar</c:v>
                </c:pt>
                <c:pt idx="3">
                  <c:v>Apr</c:v>
                </c:pt>
                <c:pt idx="4">
                  <c:v>May</c:v>
                </c:pt>
                <c:pt idx="5">
                  <c:v>Jun</c:v>
                </c:pt>
                <c:pt idx="6">
                  <c:v>Jul</c:v>
                </c:pt>
                <c:pt idx="7">
                  <c:v>Aug</c:v>
                </c:pt>
                <c:pt idx="8">
                  <c:v>Sep</c:v>
                </c:pt>
              </c:strCache>
            </c:strRef>
          </c:cat>
          <c:val>
            <c:numRef>
              <c:f>Sheet4!$B$4:$B$13</c:f>
              <c:numCache>
                <c:formatCode>\₹#,##0.00</c:formatCode>
                <c:ptCount val="9"/>
                <c:pt idx="0">
                  <c:v>56299</c:v>
                </c:pt>
                <c:pt idx="1">
                  <c:v>61624</c:v>
                </c:pt>
                <c:pt idx="2">
                  <c:v>43706</c:v>
                </c:pt>
                <c:pt idx="3">
                  <c:v>61906</c:v>
                </c:pt>
                <c:pt idx="4">
                  <c:v>63461</c:v>
                </c:pt>
                <c:pt idx="5">
                  <c:v>58113</c:v>
                </c:pt>
                <c:pt idx="6">
                  <c:v>50641</c:v>
                </c:pt>
                <c:pt idx="7">
                  <c:v>66788</c:v>
                </c:pt>
                <c:pt idx="8">
                  <c:v>39715</c:v>
                </c:pt>
              </c:numCache>
            </c:numRef>
          </c:val>
          <c:smooth val="0"/>
          <c:extLst>
            <c:ext xmlns:c16="http://schemas.microsoft.com/office/drawing/2014/chart" uri="{C3380CC4-5D6E-409C-BE32-E72D297353CC}">
              <c16:uniqueId val="{00000000-05B4-435D-AAF1-37D02E4C547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938032"/>
        <c:axId val="27148720"/>
      </c:lineChart>
      <c:catAx>
        <c:axId val="1349380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7148720"/>
        <c:crosses val="autoZero"/>
        <c:auto val="1"/>
        <c:lblAlgn val="ctr"/>
        <c:lblOffset val="100"/>
        <c:noMultiLvlLbl val="0"/>
      </c:catAx>
      <c:valAx>
        <c:axId val="271487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49380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580A46"/>
                </a:solidFill>
              </a:rPr>
              <a:t>SALES BY CITY</a:t>
            </a:r>
            <a:endParaRPr lang="en-US">
              <a:solidFill>
                <a:srgbClr val="580A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Sheet4!$O$7</c:f>
              <c:strCache>
                <c:ptCount val="1"/>
                <c:pt idx="0">
                  <c:v>Total</c:v>
                </c:pt>
              </c:strCache>
            </c:strRef>
          </c:tx>
          <c:spPr>
            <a:solidFill>
              <a:schemeClr val="accent2"/>
            </a:solidFill>
            <a:ln>
              <a:noFill/>
            </a:ln>
            <a:effectLst/>
          </c:spPr>
          <c:invertIfNegative val="0"/>
          <c:cat>
            <c:strRef>
              <c:f>Sheet4!$N$8:$N$18</c:f>
              <c:strCache>
                <c:ptCount val="10"/>
                <c:pt idx="0">
                  <c:v>Ahmedabad</c:v>
                </c:pt>
                <c:pt idx="1">
                  <c:v>Bengaluru</c:v>
                </c:pt>
                <c:pt idx="2">
                  <c:v>Delhi</c:v>
                </c:pt>
                <c:pt idx="3">
                  <c:v>Hyderabad</c:v>
                </c:pt>
                <c:pt idx="4">
                  <c:v>Jaipur</c:v>
                </c:pt>
                <c:pt idx="5">
                  <c:v>Kolkata</c:v>
                </c:pt>
                <c:pt idx="6">
                  <c:v>Lucknow</c:v>
                </c:pt>
                <c:pt idx="7">
                  <c:v>Mumbai</c:v>
                </c:pt>
                <c:pt idx="8">
                  <c:v>Nagpur</c:v>
                </c:pt>
                <c:pt idx="9">
                  <c:v>Pune</c:v>
                </c:pt>
              </c:strCache>
            </c:strRef>
          </c:cat>
          <c:val>
            <c:numRef>
              <c:f>Sheet4!$O$8:$O$18</c:f>
              <c:numCache>
                <c:formatCode>\₹#,##0.00</c:formatCode>
                <c:ptCount val="10"/>
                <c:pt idx="0">
                  <c:v>50587</c:v>
                </c:pt>
                <c:pt idx="1">
                  <c:v>44155</c:v>
                </c:pt>
                <c:pt idx="2">
                  <c:v>42826</c:v>
                </c:pt>
                <c:pt idx="3">
                  <c:v>49233</c:v>
                </c:pt>
                <c:pt idx="4">
                  <c:v>51011</c:v>
                </c:pt>
                <c:pt idx="5">
                  <c:v>38694</c:v>
                </c:pt>
                <c:pt idx="6">
                  <c:v>53663</c:v>
                </c:pt>
                <c:pt idx="7">
                  <c:v>65619</c:v>
                </c:pt>
                <c:pt idx="8">
                  <c:v>64512</c:v>
                </c:pt>
                <c:pt idx="9">
                  <c:v>41953</c:v>
                </c:pt>
              </c:numCache>
            </c:numRef>
          </c:val>
          <c:extLst>
            <c:ext xmlns:c16="http://schemas.microsoft.com/office/drawing/2014/chart" uri="{C3380CC4-5D6E-409C-BE32-E72D297353CC}">
              <c16:uniqueId val="{00000000-66C1-4DA4-A796-D90644CAED40}"/>
            </c:ext>
          </c:extLst>
        </c:ser>
        <c:dLbls>
          <c:showLegendKey val="0"/>
          <c:showVal val="0"/>
          <c:showCatName val="0"/>
          <c:showSerName val="0"/>
          <c:showPercent val="0"/>
          <c:showBubbleSize val="0"/>
        </c:dLbls>
        <c:gapWidth val="219"/>
        <c:overlap val="-27"/>
        <c:axId val="120823856"/>
        <c:axId val="27101680"/>
      </c:barChart>
      <c:catAx>
        <c:axId val="12082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1680"/>
        <c:crosses val="autoZero"/>
        <c:auto val="1"/>
        <c:lblAlgn val="ctr"/>
        <c:lblOffset val="100"/>
        <c:noMultiLvlLbl val="0"/>
      </c:catAx>
      <c:valAx>
        <c:axId val="2710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(1).xlsx]Sheet4!PivotTable4</c:name>
    <c:fmtId val="10"/>
  </c:pivotSource>
  <c:chart>
    <c:title>
      <c:tx>
        <c:rich>
          <a:bodyPr rot="0" spcFirstLastPara="1" vertOverflow="ellipsis" vert="horz" wrap="square" anchor="ctr" anchorCtr="1"/>
          <a:lstStyle/>
          <a:p>
            <a:pPr>
              <a:defRPr sz="1400" b="1" i="0" u="none" strike="noStrike" kern="1200" cap="all" spc="150" baseline="0">
                <a:solidFill>
                  <a:srgbClr val="580A46"/>
                </a:solidFill>
                <a:latin typeface="+mn-lt"/>
                <a:ea typeface="+mn-ea"/>
                <a:cs typeface="+mn-cs"/>
              </a:defRPr>
            </a:pPr>
            <a:r>
              <a:rPr lang="en-IN" sz="1400" b="1">
                <a:solidFill>
                  <a:srgbClr val="580A46"/>
                </a:solidFill>
              </a:rPr>
              <a:t>Category-wise Sales</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rgbClr val="580A4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Sheet4!$R$7</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Sheet4!$Q$8:$Q$16</c:f>
              <c:strCache>
                <c:ptCount val="8"/>
                <c:pt idx="0">
                  <c:v>Accessories</c:v>
                </c:pt>
                <c:pt idx="1">
                  <c:v>Beauty</c:v>
                </c:pt>
                <c:pt idx="2">
                  <c:v>Footwear</c:v>
                </c:pt>
                <c:pt idx="3">
                  <c:v>Home &amp; Kitchen</c:v>
                </c:pt>
                <c:pt idx="4">
                  <c:v>Jewellery</c:v>
                </c:pt>
                <c:pt idx="5">
                  <c:v>Kids</c:v>
                </c:pt>
                <c:pt idx="6">
                  <c:v>Men Fashion</c:v>
                </c:pt>
                <c:pt idx="7">
                  <c:v>Women Fashion</c:v>
                </c:pt>
              </c:strCache>
            </c:strRef>
          </c:cat>
          <c:val>
            <c:numRef>
              <c:f>Sheet4!$R$8:$R$16</c:f>
              <c:numCache>
                <c:formatCode>#,##0.00</c:formatCode>
                <c:ptCount val="8"/>
                <c:pt idx="0">
                  <c:v>51910</c:v>
                </c:pt>
                <c:pt idx="1">
                  <c:v>27857</c:v>
                </c:pt>
                <c:pt idx="2">
                  <c:v>25378</c:v>
                </c:pt>
                <c:pt idx="3">
                  <c:v>97870</c:v>
                </c:pt>
                <c:pt idx="4">
                  <c:v>25138</c:v>
                </c:pt>
                <c:pt idx="5">
                  <c:v>43828</c:v>
                </c:pt>
                <c:pt idx="6">
                  <c:v>44522</c:v>
                </c:pt>
                <c:pt idx="7">
                  <c:v>185750</c:v>
                </c:pt>
              </c:numCache>
            </c:numRef>
          </c:val>
          <c:extLst>
            <c:ext xmlns:c16="http://schemas.microsoft.com/office/drawing/2014/chart" uri="{C3380CC4-5D6E-409C-BE32-E72D297353CC}">
              <c16:uniqueId val="{00000000-F05F-4DEE-AB3A-EFBDE1A81D20}"/>
            </c:ext>
          </c:extLst>
        </c:ser>
        <c:dLbls>
          <c:showLegendKey val="0"/>
          <c:showVal val="0"/>
          <c:showCatName val="0"/>
          <c:showSerName val="0"/>
          <c:showPercent val="0"/>
          <c:showBubbleSize val="0"/>
        </c:dLbls>
        <c:gapWidth val="227"/>
        <c:overlap val="-48"/>
        <c:axId val="123581152"/>
        <c:axId val="27104560"/>
      </c:barChart>
      <c:catAx>
        <c:axId val="12358115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4560"/>
        <c:crosses val="autoZero"/>
        <c:auto val="1"/>
        <c:lblAlgn val="ctr"/>
        <c:lblOffset val="100"/>
        <c:noMultiLvlLbl val="0"/>
      </c:catAx>
      <c:valAx>
        <c:axId val="271045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[Meesho_Seller_Dataset_1000_Rows (1).xlsx]Sheet4!PivotTable5</c:name>
    <c:fmtId val="6"/>
  </c:pivotSource>
  <c:chart>
    <c:title>
      <c:tx>
        <c:rich>
          <a:bodyPr rot="0" spcFirstLastPara="1" vertOverflow="ellipsis" vert="horz" wrap="square" anchor="ctr" anchorCtr="1"/>
          <a:lstStyle/>
          <a:p>
            <a:pPr>
              <a:defRPr sz="1800" b="1" i="0" u="none" strike="noStrike" kern="1200" baseline="0">
                <a:solidFill>
                  <a:srgbClr val="580A46"/>
                </a:solidFill>
                <a:latin typeface="+mn-lt"/>
                <a:ea typeface="+mn-ea"/>
                <a:cs typeface="+mn-cs"/>
              </a:defRPr>
            </a:pPr>
            <a:r>
              <a:rPr lang="en-IN" sz="1400">
                <a:solidFill>
                  <a:srgbClr val="580A46"/>
                </a:solidFill>
              </a:rPr>
              <a:t>ORDERS</a:t>
            </a:r>
            <a:r>
              <a:rPr lang="en-IN" sz="1400" baseline="0">
                <a:solidFill>
                  <a:srgbClr val="580A46"/>
                </a:solidFill>
              </a:rPr>
              <a:t> BY ORDER STATUS</a:t>
            </a:r>
            <a:endParaRPr lang="en-US" sz="1400">
              <a:solidFill>
                <a:srgbClr val="580A46"/>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580A4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Sheet4!$S$23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6A-4BB5-A655-C1D8186336C7}"/>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6A-4BB5-A655-C1D8186336C7}"/>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6A-4BB5-A655-C1D8186336C7}"/>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6A-4BB5-A655-C1D8186336C7}"/>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6A-4BB5-A655-C1D818633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Sheet4!$R$24:$R$29</c:f>
              <c:strCache>
                <c:ptCount val="5"/>
                <c:pt idx="0">
                  <c:v>Cancelled</c:v>
                </c:pt>
                <c:pt idx="1">
                  <c:v>Delivered</c:v>
                </c:pt>
                <c:pt idx="2">
                  <c:v>Pending</c:v>
                </c:pt>
                <c:pt idx="3">
                  <c:v>Returned</c:v>
                </c:pt>
                <c:pt idx="4">
                  <c:v>Shipped</c:v>
                </c:pt>
              </c:strCache>
            </c:strRef>
          </c:cat>
          <c:val>
            <c:numRef>
              <c:f>Sheet4!$S$24:$S$29</c:f>
              <c:numCache>
                <c:formatCode>General</c:formatCode>
                <c:ptCount val="5"/>
                <c:pt idx="0">
                  <c:v>51</c:v>
                </c:pt>
                <c:pt idx="1">
                  <c:v>651</c:v>
                </c:pt>
                <c:pt idx="2">
                  <c:v>81</c:v>
                </c:pt>
                <c:pt idx="3">
                  <c:v>78</c:v>
                </c:pt>
                <c:pt idx="4">
                  <c:v>139</c:v>
                </c:pt>
              </c:numCache>
            </c:numRef>
          </c:val>
          <c:extLst>
            <c:ext xmlns:c16="http://schemas.microsoft.com/office/drawing/2014/chart" uri="{C3380CC4-5D6E-409C-BE32-E72D297353CC}">
              <c16:uniqueId val="{0000000A-C96A-4BB5-A655-C1D8186336C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304800</xdr:colOff>
      <xdr:row>10</xdr:row>
      <xdr:rowOff>22860</xdr:rowOff>
    </xdr:from>
    <xdr:to>
      <xdr:col>5</xdr:col>
      <xdr:colOff>502920</xdr:colOff>
      <xdr:row>23</xdr:row>
      <xdr:rowOff>112395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E39A3A7-2DF5-8571-C2BB-5C4F7AE5D1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8244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2</xdr:row>
      <xdr:rowOff>91440</xdr:rowOff>
    </xdr:from>
    <xdr:to>
      <xdr:col>16</xdr:col>
      <xdr:colOff>182880</xdr:colOff>
      <xdr:row>15</xdr:row>
      <xdr:rowOff>180975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502B52A5-410C-989B-213C-FD60EEF2C6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6800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5</xdr:row>
      <xdr:rowOff>175260</xdr:rowOff>
    </xdr:from>
    <xdr:to>
      <xdr:col>9</xdr:col>
      <xdr:colOff>190500</xdr:colOff>
      <xdr:row>19</xdr:row>
      <xdr:rowOff>81915</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356799BF-8914-0437-2F89-58D5924C4637}"/>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40842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487680</xdr:colOff>
      <xdr:row>4</xdr:row>
      <xdr:rowOff>114300</xdr:rowOff>
    </xdr:from>
    <xdr:to>
      <xdr:col>12</xdr:col>
      <xdr:colOff>487680</xdr:colOff>
      <xdr:row>18</xdr:row>
      <xdr:rowOff>20955</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84A6C88E-A86F-2E08-93CB-4D18E039A47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534400" y="84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11</xdr:col>
      <xdr:colOff>0</xdr:colOff>
      <xdr:row>21</xdr:row>
      <xdr:rowOff>41910</xdr:rowOff>
    </xdr:to>
    <xdr:graphicFrame macro="">
      <xdr:nvGraphicFramePr>
        <xdr:cNvPr id="2" name="Chart 1">
          <a:extLst>
            <a:ext uri="{FF2B5EF4-FFF2-40B4-BE49-F238E27FC236}">
              <a16:creationId xmlns:a16="http://schemas.microsoft.com/office/drawing/2014/main" id="{F0F5D8CF-70C7-B600-4134-94303283F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xdr:row>
      <xdr:rowOff>41910</xdr:rowOff>
    </xdr:from>
    <xdr:to>
      <xdr:col>11</xdr:col>
      <xdr:colOff>571500</xdr:colOff>
      <xdr:row>16</xdr:row>
      <xdr:rowOff>41910</xdr:rowOff>
    </xdr:to>
    <xdr:graphicFrame macro="">
      <xdr:nvGraphicFramePr>
        <xdr:cNvPr id="3" name="Chart 2">
          <a:extLst>
            <a:ext uri="{FF2B5EF4-FFF2-40B4-BE49-F238E27FC236}">
              <a16:creationId xmlns:a16="http://schemas.microsoft.com/office/drawing/2014/main" id="{BCED85E1-23F3-8C44-0B1D-82B3F60BE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83820</xdr:colOff>
      <xdr:row>6</xdr:row>
      <xdr:rowOff>41910</xdr:rowOff>
    </xdr:from>
    <xdr:to>
      <xdr:col>16</xdr:col>
      <xdr:colOff>0</xdr:colOff>
      <xdr:row>21</xdr:row>
      <xdr:rowOff>41910</xdr:rowOff>
    </xdr:to>
    <xdr:graphicFrame macro="">
      <xdr:nvGraphicFramePr>
        <xdr:cNvPr id="4" name="Chart 3">
          <a:extLst>
            <a:ext uri="{FF2B5EF4-FFF2-40B4-BE49-F238E27FC236}">
              <a16:creationId xmlns:a16="http://schemas.microsoft.com/office/drawing/2014/main" id="{7CFBA9DA-7227-7E27-F188-EE87F71CD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762000</xdr:colOff>
      <xdr:row>3</xdr:row>
      <xdr:rowOff>80010</xdr:rowOff>
    </xdr:from>
    <xdr:to>
      <xdr:col>25</xdr:col>
      <xdr:colOff>548640</xdr:colOff>
      <xdr:row>18</xdr:row>
      <xdr:rowOff>80010</xdr:rowOff>
    </xdr:to>
    <xdr:graphicFrame macro="">
      <xdr:nvGraphicFramePr>
        <xdr:cNvPr id="5" name="Chart 4">
          <a:extLst>
            <a:ext uri="{FF2B5EF4-FFF2-40B4-BE49-F238E27FC236}">
              <a16:creationId xmlns:a16="http://schemas.microsoft.com/office/drawing/2014/main" id="{7AE5570E-A77F-2823-2DE8-21D79AADC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36</xdr:row>
      <xdr:rowOff>22860</xdr:rowOff>
    </xdr:to>
    <xdr:sp macro="" textlink="">
      <xdr:nvSpPr>
        <xdr:cNvPr id="2" name="Rectangle 1">
          <a:extLst>
            <a:ext uri="{FF2B5EF4-FFF2-40B4-BE49-F238E27FC236}">
              <a16:creationId xmlns:a16="http://schemas.microsoft.com/office/drawing/2014/main" id="{701BDE73-EC12-16D2-E676-4DEB745C2B58}"/>
            </a:ext>
          </a:extLst>
        </xdr:cNvPr>
        <xdr:cNvSpPr/>
      </xdr:nvSpPr>
      <xdr:spPr>
        <a:xfrm>
          <a:off x="0" y="0"/>
          <a:ext cx="14371320" cy="6606540"/>
        </a:xfrm>
        <a:prstGeom prst="rect">
          <a:avLst/>
        </a:prstGeom>
        <a:solidFill>
          <a:srgbClr val="580A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348803</xdr:colOff>
      <xdr:row>4</xdr:row>
      <xdr:rowOff>152400</xdr:rowOff>
    </xdr:to>
    <xdr:sp macro="" textlink="">
      <xdr:nvSpPr>
        <xdr:cNvPr id="3" name="Rectangle 2">
          <a:extLst>
            <a:ext uri="{FF2B5EF4-FFF2-40B4-BE49-F238E27FC236}">
              <a16:creationId xmlns:a16="http://schemas.microsoft.com/office/drawing/2014/main" id="{35A1A958-4C89-B858-0C34-5BE696F9DE45}"/>
            </a:ext>
          </a:extLst>
        </xdr:cNvPr>
        <xdr:cNvSpPr/>
      </xdr:nvSpPr>
      <xdr:spPr>
        <a:xfrm>
          <a:off x="0" y="0"/>
          <a:ext cx="14357261" cy="88220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347869</xdr:colOff>
      <xdr:row>0</xdr:row>
      <xdr:rowOff>0</xdr:rowOff>
    </xdr:from>
    <xdr:to>
      <xdr:col>4</xdr:col>
      <xdr:colOff>530086</xdr:colOff>
      <xdr:row>4</xdr:row>
      <xdr:rowOff>132521</xdr:rowOff>
    </xdr:to>
    <xdr:pic>
      <xdr:nvPicPr>
        <xdr:cNvPr id="9" name="Picture 8">
          <a:extLst>
            <a:ext uri="{FF2B5EF4-FFF2-40B4-BE49-F238E27FC236}">
              <a16:creationId xmlns:a16="http://schemas.microsoft.com/office/drawing/2014/main" id="{9F611313-114E-858C-841D-09BEE13BF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695" y="0"/>
          <a:ext cx="1408043" cy="861391"/>
        </a:xfrm>
        <a:prstGeom prst="rect">
          <a:avLst/>
        </a:prstGeom>
        <a:ln>
          <a:noFill/>
        </a:ln>
      </xdr:spPr>
    </xdr:pic>
    <xdr:clientData/>
  </xdr:twoCellAnchor>
  <xdr:twoCellAnchor>
    <xdr:from>
      <xdr:col>6</xdr:col>
      <xdr:colOff>121660</xdr:colOff>
      <xdr:row>0</xdr:row>
      <xdr:rowOff>0</xdr:rowOff>
    </xdr:from>
    <xdr:to>
      <xdr:col>23</xdr:col>
      <xdr:colOff>376518</xdr:colOff>
      <xdr:row>3</xdr:row>
      <xdr:rowOff>38100</xdr:rowOff>
    </xdr:to>
    <xdr:sp macro="" textlink="">
      <xdr:nvSpPr>
        <xdr:cNvPr id="10" name="TextBox 9">
          <a:extLst>
            <a:ext uri="{FF2B5EF4-FFF2-40B4-BE49-F238E27FC236}">
              <a16:creationId xmlns:a16="http://schemas.microsoft.com/office/drawing/2014/main" id="{601E2905-ADA5-191F-1C22-C82527A4E82D}"/>
            </a:ext>
          </a:extLst>
        </xdr:cNvPr>
        <xdr:cNvSpPr txBox="1"/>
      </xdr:nvSpPr>
      <xdr:spPr>
        <a:xfrm>
          <a:off x="3779260" y="0"/>
          <a:ext cx="10618058" cy="575982"/>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rgbClr val="580A46"/>
              </a:solidFill>
            </a:rPr>
            <a:t>MEESHO SALES PERFORMANCE</a:t>
          </a:r>
          <a:r>
            <a:rPr lang="en-IN" sz="3000" b="1" baseline="0">
              <a:solidFill>
                <a:srgbClr val="580A46"/>
              </a:solidFill>
            </a:rPr>
            <a:t> ANALYSIS</a:t>
          </a:r>
          <a:endParaRPr lang="en-IN" sz="3000" b="1">
            <a:solidFill>
              <a:srgbClr val="580A46"/>
            </a:solidFill>
          </a:endParaRPr>
        </a:p>
      </xdr:txBody>
    </xdr:sp>
    <xdr:clientData/>
  </xdr:twoCellAnchor>
  <xdr:twoCellAnchor>
    <xdr:from>
      <xdr:col>7</xdr:col>
      <xdr:colOff>22860</xdr:colOff>
      <xdr:row>2</xdr:row>
      <xdr:rowOff>114300</xdr:rowOff>
    </xdr:from>
    <xdr:to>
      <xdr:col>19</xdr:col>
      <xdr:colOff>373380</xdr:colOff>
      <xdr:row>4</xdr:row>
      <xdr:rowOff>38100</xdr:rowOff>
    </xdr:to>
    <xdr:sp macro="" textlink="">
      <xdr:nvSpPr>
        <xdr:cNvPr id="11" name="TextBox 10">
          <a:extLst>
            <a:ext uri="{FF2B5EF4-FFF2-40B4-BE49-F238E27FC236}">
              <a16:creationId xmlns:a16="http://schemas.microsoft.com/office/drawing/2014/main" id="{E915B2D1-6CCC-ED5D-5CD8-353F3F660F40}"/>
            </a:ext>
          </a:extLst>
        </xdr:cNvPr>
        <xdr:cNvSpPr txBox="1"/>
      </xdr:nvSpPr>
      <xdr:spPr>
        <a:xfrm>
          <a:off x="4290060" y="480060"/>
          <a:ext cx="7665720" cy="28956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580A46"/>
              </a:solidFill>
            </a:rPr>
            <a:t>SALES</a:t>
          </a:r>
          <a:r>
            <a:rPr lang="en-IN" sz="1800">
              <a:solidFill>
                <a:srgbClr val="580A46"/>
              </a:solidFill>
            </a:rPr>
            <a:t> | </a:t>
          </a:r>
          <a:r>
            <a:rPr lang="en-IN" sz="1800" baseline="0">
              <a:solidFill>
                <a:srgbClr val="580A46"/>
              </a:solidFill>
            </a:rPr>
            <a:t> PROFITABILITY | CUSTOMER &amp; CATEGORY ANALYSIS</a:t>
          </a:r>
          <a:endParaRPr lang="en-IN" sz="1800">
            <a:solidFill>
              <a:srgbClr val="580A46"/>
            </a:solidFill>
          </a:endParaRPr>
        </a:p>
      </xdr:txBody>
    </xdr:sp>
    <xdr:clientData/>
  </xdr:twoCellAnchor>
  <xdr:twoCellAnchor editAs="oneCell">
    <xdr:from>
      <xdr:col>19</xdr:col>
      <xdr:colOff>15240</xdr:colOff>
      <xdr:row>0</xdr:row>
      <xdr:rowOff>0</xdr:rowOff>
    </xdr:from>
    <xdr:to>
      <xdr:col>23</xdr:col>
      <xdr:colOff>139454</xdr:colOff>
      <xdr:row>4</xdr:row>
      <xdr:rowOff>182879</xdr:rowOff>
    </xdr:to>
    <xdr:pic>
      <xdr:nvPicPr>
        <xdr:cNvPr id="17" name="Picture 16">
          <a:extLst>
            <a:ext uri="{FF2B5EF4-FFF2-40B4-BE49-F238E27FC236}">
              <a16:creationId xmlns:a16="http://schemas.microsoft.com/office/drawing/2014/main" id="{40616C7C-406F-77AA-96C4-B3538577A8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97640" y="0"/>
          <a:ext cx="2562614" cy="914399"/>
        </a:xfrm>
        <a:prstGeom prst="rect">
          <a:avLst/>
        </a:prstGeom>
      </xdr:spPr>
    </xdr:pic>
    <xdr:clientData/>
  </xdr:twoCellAnchor>
  <xdr:twoCellAnchor editAs="oneCell">
    <xdr:from>
      <xdr:col>0</xdr:col>
      <xdr:colOff>22861</xdr:colOff>
      <xdr:row>0</xdr:row>
      <xdr:rowOff>0</xdr:rowOff>
    </xdr:from>
    <xdr:to>
      <xdr:col>3</xdr:col>
      <xdr:colOff>15241</xdr:colOff>
      <xdr:row>5</xdr:row>
      <xdr:rowOff>10268</xdr:rowOff>
    </xdr:to>
    <xdr:pic>
      <xdr:nvPicPr>
        <xdr:cNvPr id="5" name="Picture 4">
          <a:extLst>
            <a:ext uri="{FF2B5EF4-FFF2-40B4-BE49-F238E27FC236}">
              <a16:creationId xmlns:a16="http://schemas.microsoft.com/office/drawing/2014/main" id="{40584E11-B995-AAB9-7D38-48044BE5A1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1" y="0"/>
          <a:ext cx="1821180" cy="924668"/>
        </a:xfrm>
        <a:prstGeom prst="rect">
          <a:avLst/>
        </a:prstGeom>
      </xdr:spPr>
    </xdr:pic>
    <xdr:clientData/>
  </xdr:twoCellAnchor>
  <xdr:twoCellAnchor>
    <xdr:from>
      <xdr:col>6</xdr:col>
      <xdr:colOff>509983</xdr:colOff>
      <xdr:row>5</xdr:row>
      <xdr:rowOff>56016</xdr:rowOff>
    </xdr:from>
    <xdr:to>
      <xdr:col>10</xdr:col>
      <xdr:colOff>234290</xdr:colOff>
      <xdr:row>9</xdr:row>
      <xdr:rowOff>92533</xdr:rowOff>
    </xdr:to>
    <xdr:sp macro="" textlink="">
      <xdr:nvSpPr>
        <xdr:cNvPr id="8" name="Rectangle: Rounded Corners 7">
          <a:extLst>
            <a:ext uri="{FF2B5EF4-FFF2-40B4-BE49-F238E27FC236}">
              <a16:creationId xmlns:a16="http://schemas.microsoft.com/office/drawing/2014/main" id="{42130038-0C20-CF8D-8A8D-FD41EC4D78D6}"/>
            </a:ext>
          </a:extLst>
        </xdr:cNvPr>
        <xdr:cNvSpPr/>
      </xdr:nvSpPr>
      <xdr:spPr>
        <a:xfrm>
          <a:off x="4164363" y="968270"/>
          <a:ext cx="2160561" cy="7663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546221</xdr:colOff>
      <xdr:row>5</xdr:row>
      <xdr:rowOff>69207</xdr:rowOff>
    </xdr:from>
    <xdr:to>
      <xdr:col>7</xdr:col>
      <xdr:colOff>524661</xdr:colOff>
      <xdr:row>7</xdr:row>
      <xdr:rowOff>104636</xdr:rowOff>
    </xdr:to>
    <xdr:pic>
      <xdr:nvPicPr>
        <xdr:cNvPr id="13" name="Picture 12">
          <a:extLst>
            <a:ext uri="{FF2B5EF4-FFF2-40B4-BE49-F238E27FC236}">
              <a16:creationId xmlns:a16="http://schemas.microsoft.com/office/drawing/2014/main" id="{C7D88157-53CF-187B-BC04-1E743662E3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10306" y="987930"/>
          <a:ext cx="589121" cy="402919"/>
        </a:xfrm>
        <a:prstGeom prst="rect">
          <a:avLst/>
        </a:prstGeom>
      </xdr:spPr>
    </xdr:pic>
    <xdr:clientData/>
  </xdr:twoCellAnchor>
  <xdr:twoCellAnchor>
    <xdr:from>
      <xdr:col>14</xdr:col>
      <xdr:colOff>356291</xdr:colOff>
      <xdr:row>5</xdr:row>
      <xdr:rowOff>84736</xdr:rowOff>
    </xdr:from>
    <xdr:to>
      <xdr:col>18</xdr:col>
      <xdr:colOff>80598</xdr:colOff>
      <xdr:row>9</xdr:row>
      <xdr:rowOff>121253</xdr:rowOff>
    </xdr:to>
    <xdr:sp macro="" textlink="">
      <xdr:nvSpPr>
        <xdr:cNvPr id="18" name="Rectangle: Rounded Corners 17">
          <a:extLst>
            <a:ext uri="{FF2B5EF4-FFF2-40B4-BE49-F238E27FC236}">
              <a16:creationId xmlns:a16="http://schemas.microsoft.com/office/drawing/2014/main" id="{A1D6F915-11B1-424C-9C1E-38C66B232FCC}"/>
            </a:ext>
          </a:extLst>
        </xdr:cNvPr>
        <xdr:cNvSpPr/>
      </xdr:nvSpPr>
      <xdr:spPr>
        <a:xfrm>
          <a:off x="8905823" y="1003459"/>
          <a:ext cx="2167030" cy="7714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365289</xdr:colOff>
      <xdr:row>5</xdr:row>
      <xdr:rowOff>56394</xdr:rowOff>
    </xdr:from>
    <xdr:to>
      <xdr:col>22</xdr:col>
      <xdr:colOff>90969</xdr:colOff>
      <xdr:row>9</xdr:row>
      <xdr:rowOff>92911</xdr:rowOff>
    </xdr:to>
    <xdr:sp macro="" textlink="">
      <xdr:nvSpPr>
        <xdr:cNvPr id="19" name="Rectangle: Rounded Corners 18">
          <a:extLst>
            <a:ext uri="{FF2B5EF4-FFF2-40B4-BE49-F238E27FC236}">
              <a16:creationId xmlns:a16="http://schemas.microsoft.com/office/drawing/2014/main" id="{D208AC23-F7F3-4691-82D9-359132F4719D}"/>
            </a:ext>
          </a:extLst>
        </xdr:cNvPr>
        <xdr:cNvSpPr/>
      </xdr:nvSpPr>
      <xdr:spPr>
        <a:xfrm>
          <a:off x="11328430" y="968648"/>
          <a:ext cx="2161933" cy="7663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400126</xdr:colOff>
      <xdr:row>5</xdr:row>
      <xdr:rowOff>73742</xdr:rowOff>
    </xdr:from>
    <xdr:to>
      <xdr:col>14</xdr:col>
      <xdr:colOff>125807</xdr:colOff>
      <xdr:row>9</xdr:row>
      <xdr:rowOff>113577</xdr:rowOff>
    </xdr:to>
    <xdr:sp macro="" textlink="">
      <xdr:nvSpPr>
        <xdr:cNvPr id="20" name="Rectangle: Rounded Corners 19">
          <a:extLst>
            <a:ext uri="{FF2B5EF4-FFF2-40B4-BE49-F238E27FC236}">
              <a16:creationId xmlns:a16="http://schemas.microsoft.com/office/drawing/2014/main" id="{CE47736D-759A-4B46-958D-815703CA72B9}"/>
            </a:ext>
          </a:extLst>
        </xdr:cNvPr>
        <xdr:cNvSpPr/>
      </xdr:nvSpPr>
      <xdr:spPr>
        <a:xfrm>
          <a:off x="6506935" y="992465"/>
          <a:ext cx="2168404" cy="77481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476307</xdr:colOff>
      <xdr:row>5</xdr:row>
      <xdr:rowOff>116656</xdr:rowOff>
    </xdr:from>
    <xdr:to>
      <xdr:col>9</xdr:col>
      <xdr:colOff>593537</xdr:colOff>
      <xdr:row>7</xdr:row>
      <xdr:rowOff>81457</xdr:rowOff>
    </xdr:to>
    <xdr:sp macro="" textlink="">
      <xdr:nvSpPr>
        <xdr:cNvPr id="28" name="TextBox 27">
          <a:extLst>
            <a:ext uri="{FF2B5EF4-FFF2-40B4-BE49-F238E27FC236}">
              <a16:creationId xmlns:a16="http://schemas.microsoft.com/office/drawing/2014/main" id="{7D27360C-FDA6-049A-31C3-ABBE54096BEA}"/>
            </a:ext>
          </a:extLst>
        </xdr:cNvPr>
        <xdr:cNvSpPr txBox="1"/>
      </xdr:nvSpPr>
      <xdr:spPr>
        <a:xfrm>
          <a:off x="4743507" y="1031056"/>
          <a:ext cx="1336430" cy="330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580A46"/>
              </a:solidFill>
            </a:rPr>
            <a:t>TOTAL SALES</a:t>
          </a:r>
        </a:p>
      </xdr:txBody>
    </xdr:sp>
    <xdr:clientData/>
  </xdr:twoCellAnchor>
  <xdr:twoCellAnchor>
    <xdr:from>
      <xdr:col>8</xdr:col>
      <xdr:colOff>92190</xdr:colOff>
      <xdr:row>7</xdr:row>
      <xdr:rowOff>2403</xdr:rowOff>
    </xdr:from>
    <xdr:to>
      <xdr:col>9</xdr:col>
      <xdr:colOff>546460</xdr:colOff>
      <xdr:row>8</xdr:row>
      <xdr:rowOff>146447</xdr:rowOff>
    </xdr:to>
    <xdr:sp macro="" textlink="Sheet3!A6">
      <xdr:nvSpPr>
        <xdr:cNvPr id="29" name="TextBox 28">
          <a:extLst>
            <a:ext uri="{FF2B5EF4-FFF2-40B4-BE49-F238E27FC236}">
              <a16:creationId xmlns:a16="http://schemas.microsoft.com/office/drawing/2014/main" id="{6CD107F3-D084-88DF-86B9-1D970008B280}"/>
            </a:ext>
          </a:extLst>
        </xdr:cNvPr>
        <xdr:cNvSpPr txBox="1"/>
      </xdr:nvSpPr>
      <xdr:spPr>
        <a:xfrm>
          <a:off x="4964697" y="1279558"/>
          <a:ext cx="1063333" cy="326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39F223-473B-4D9C-9EFB-2EABDDB52277}" type="TxLink">
            <a:rPr lang="en-US" sz="1800" b="1" i="0" u="none" strike="noStrike">
              <a:solidFill>
                <a:srgbClr val="580A46"/>
              </a:solidFill>
              <a:latin typeface="Calibri"/>
              <a:ea typeface="Calibri"/>
              <a:cs typeface="Calibri"/>
            </a:rPr>
            <a:pPr/>
            <a:t>502253</a:t>
          </a:fld>
          <a:endParaRPr lang="en-IN" sz="1800" b="1">
            <a:solidFill>
              <a:srgbClr val="580A46"/>
            </a:solidFill>
          </a:endParaRPr>
        </a:p>
      </xdr:txBody>
    </xdr:sp>
    <xdr:clientData/>
  </xdr:twoCellAnchor>
  <xdr:twoCellAnchor editAs="oneCell">
    <xdr:from>
      <xdr:col>10</xdr:col>
      <xdr:colOff>568500</xdr:colOff>
      <xdr:row>5</xdr:row>
      <xdr:rowOff>89718</xdr:rowOff>
    </xdr:from>
    <xdr:to>
      <xdr:col>11</xdr:col>
      <xdr:colOff>375390</xdr:colOff>
      <xdr:row>7</xdr:row>
      <xdr:rowOff>78556</xdr:rowOff>
    </xdr:to>
    <xdr:pic>
      <xdr:nvPicPr>
        <xdr:cNvPr id="31" name="Picture 30">
          <a:extLst>
            <a:ext uri="{FF2B5EF4-FFF2-40B4-BE49-F238E27FC236}">
              <a16:creationId xmlns:a16="http://schemas.microsoft.com/office/drawing/2014/main" id="{9E570DBB-F1E2-523A-03FE-9216F0FACA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64500" y="1004118"/>
          <a:ext cx="416490" cy="354598"/>
        </a:xfrm>
        <a:prstGeom prst="rect">
          <a:avLst/>
        </a:prstGeom>
      </xdr:spPr>
    </xdr:pic>
    <xdr:clientData/>
  </xdr:twoCellAnchor>
  <xdr:twoCellAnchor>
    <xdr:from>
      <xdr:col>11</xdr:col>
      <xdr:colOff>368394</xdr:colOff>
      <xdr:row>5</xdr:row>
      <xdr:rowOff>111941</xdr:rowOff>
    </xdr:from>
    <xdr:to>
      <xdr:col>13</xdr:col>
      <xdr:colOff>591982</xdr:colOff>
      <xdr:row>7</xdr:row>
      <xdr:rowOff>66615</xdr:rowOff>
    </xdr:to>
    <xdr:sp macro="" textlink="">
      <xdr:nvSpPr>
        <xdr:cNvPr id="32" name="TextBox 31">
          <a:extLst>
            <a:ext uri="{FF2B5EF4-FFF2-40B4-BE49-F238E27FC236}">
              <a16:creationId xmlns:a16="http://schemas.microsoft.com/office/drawing/2014/main" id="{6BC55ED5-0E57-726E-BC9F-CD2C08ED3872}"/>
            </a:ext>
          </a:extLst>
        </xdr:cNvPr>
        <xdr:cNvSpPr txBox="1"/>
      </xdr:nvSpPr>
      <xdr:spPr>
        <a:xfrm>
          <a:off x="7068091" y="1024195"/>
          <a:ext cx="1441715" cy="31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580A46"/>
              </a:solidFill>
            </a:rPr>
            <a:t>TOTAL</a:t>
          </a:r>
          <a:r>
            <a:rPr lang="en-IN" sz="1600"/>
            <a:t> </a:t>
          </a:r>
          <a:r>
            <a:rPr lang="en-IN" sz="1600" b="1">
              <a:solidFill>
                <a:srgbClr val="580A46"/>
              </a:solidFill>
            </a:rPr>
            <a:t>PROFIT</a:t>
          </a:r>
        </a:p>
      </xdr:txBody>
    </xdr:sp>
    <xdr:clientData/>
  </xdr:twoCellAnchor>
  <xdr:twoCellAnchor>
    <xdr:from>
      <xdr:col>11</xdr:col>
      <xdr:colOff>426387</xdr:colOff>
      <xdr:row>7</xdr:row>
      <xdr:rowOff>8382</xdr:rowOff>
    </xdr:from>
    <xdr:to>
      <xdr:col>13</xdr:col>
      <xdr:colOff>440369</xdr:colOff>
      <xdr:row>9</xdr:row>
      <xdr:rowOff>25895</xdr:rowOff>
    </xdr:to>
    <xdr:sp macro="" textlink="Sheet3!C6">
      <xdr:nvSpPr>
        <xdr:cNvPr id="33" name="TextBox 32">
          <a:extLst>
            <a:ext uri="{FF2B5EF4-FFF2-40B4-BE49-F238E27FC236}">
              <a16:creationId xmlns:a16="http://schemas.microsoft.com/office/drawing/2014/main" id="{517D1C22-D329-1EAE-F56E-CC5147723474}"/>
            </a:ext>
          </a:extLst>
        </xdr:cNvPr>
        <xdr:cNvSpPr txBox="1"/>
      </xdr:nvSpPr>
      <xdr:spPr>
        <a:xfrm>
          <a:off x="7126084" y="1285537"/>
          <a:ext cx="1232109" cy="382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0AA225-BFE7-4819-828C-C9F50EBB73ED}" type="TxLink">
            <a:rPr lang="en-US" sz="1800" b="1" i="0" u="none" strike="noStrike">
              <a:solidFill>
                <a:srgbClr val="580A46"/>
              </a:solidFill>
              <a:latin typeface="Calibri"/>
              <a:ea typeface="Calibri"/>
              <a:cs typeface="Calibri"/>
            </a:rPr>
            <a:pPr/>
            <a:t>186627.43</a:t>
          </a:fld>
          <a:endParaRPr lang="en-IN" sz="1800" b="1">
            <a:solidFill>
              <a:srgbClr val="580A46"/>
            </a:solidFill>
          </a:endParaRPr>
        </a:p>
      </xdr:txBody>
    </xdr:sp>
    <xdr:clientData/>
  </xdr:twoCellAnchor>
  <xdr:twoCellAnchor editAs="oneCell">
    <xdr:from>
      <xdr:col>14</xdr:col>
      <xdr:colOff>508499</xdr:colOff>
      <xdr:row>5</xdr:row>
      <xdr:rowOff>117218</xdr:rowOff>
    </xdr:from>
    <xdr:to>
      <xdr:col>15</xdr:col>
      <xdr:colOff>337750</xdr:colOff>
      <xdr:row>7</xdr:row>
      <xdr:rowOff>145914</xdr:rowOff>
    </xdr:to>
    <xdr:pic>
      <xdr:nvPicPr>
        <xdr:cNvPr id="37" name="Picture 36">
          <a:extLst>
            <a:ext uri="{FF2B5EF4-FFF2-40B4-BE49-F238E27FC236}">
              <a16:creationId xmlns:a16="http://schemas.microsoft.com/office/drawing/2014/main" id="{75354CD8-BD83-2C5B-3BB1-F5AB7E9BA17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58031" y="1035941"/>
          <a:ext cx="439932" cy="396186"/>
        </a:xfrm>
        <a:prstGeom prst="rect">
          <a:avLst/>
        </a:prstGeom>
      </xdr:spPr>
    </xdr:pic>
    <xdr:clientData/>
  </xdr:twoCellAnchor>
  <xdr:twoCellAnchor>
    <xdr:from>
      <xdr:col>15</xdr:col>
      <xdr:colOff>374642</xdr:colOff>
      <xdr:row>5</xdr:row>
      <xdr:rowOff>123421</xdr:rowOff>
    </xdr:from>
    <xdr:to>
      <xdr:col>18</xdr:col>
      <xdr:colOff>26831</xdr:colOff>
      <xdr:row>7</xdr:row>
      <xdr:rowOff>2365</xdr:rowOff>
    </xdr:to>
    <xdr:sp macro="" textlink="">
      <xdr:nvSpPr>
        <xdr:cNvPr id="38" name="TextBox 37">
          <a:extLst>
            <a:ext uri="{FF2B5EF4-FFF2-40B4-BE49-F238E27FC236}">
              <a16:creationId xmlns:a16="http://schemas.microsoft.com/office/drawing/2014/main" id="{423A184E-7C18-E918-00AB-7680FD8C2473}"/>
            </a:ext>
          </a:extLst>
        </xdr:cNvPr>
        <xdr:cNvSpPr txBox="1"/>
      </xdr:nvSpPr>
      <xdr:spPr>
        <a:xfrm>
          <a:off x="9510593" y="1035675"/>
          <a:ext cx="1479379" cy="243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580A46"/>
              </a:solidFill>
            </a:rPr>
            <a:t>TOTAL ORDERS</a:t>
          </a:r>
        </a:p>
      </xdr:txBody>
    </xdr:sp>
    <xdr:clientData/>
  </xdr:twoCellAnchor>
  <xdr:twoCellAnchor>
    <xdr:from>
      <xdr:col>15</xdr:col>
      <xdr:colOff>601925</xdr:colOff>
      <xdr:row>7</xdr:row>
      <xdr:rowOff>8127</xdr:rowOff>
    </xdr:from>
    <xdr:to>
      <xdr:col>17</xdr:col>
      <xdr:colOff>171633</xdr:colOff>
      <xdr:row>8</xdr:row>
      <xdr:rowOff>160985</xdr:rowOff>
    </xdr:to>
    <xdr:sp macro="" textlink="Sheet3!B6">
      <xdr:nvSpPr>
        <xdr:cNvPr id="43" name="TextBox 42">
          <a:extLst>
            <a:ext uri="{FF2B5EF4-FFF2-40B4-BE49-F238E27FC236}">
              <a16:creationId xmlns:a16="http://schemas.microsoft.com/office/drawing/2014/main" id="{A5EC1F61-F763-B5C0-A017-F4884E82B1DC}"/>
            </a:ext>
          </a:extLst>
        </xdr:cNvPr>
        <xdr:cNvSpPr txBox="1"/>
      </xdr:nvSpPr>
      <xdr:spPr>
        <a:xfrm>
          <a:off x="9737876" y="1285282"/>
          <a:ext cx="787834" cy="335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65CD50-FB47-423A-B3BF-8B709E8CC3DD}" type="TxLink">
            <a:rPr lang="en-US" sz="1800" b="1" i="0" u="none" strike="noStrike">
              <a:solidFill>
                <a:srgbClr val="580A46"/>
              </a:solidFill>
              <a:latin typeface="Calibri"/>
              <a:ea typeface="Calibri"/>
              <a:cs typeface="Calibri"/>
            </a:rPr>
            <a:pPr/>
            <a:t>1000</a:t>
          </a:fld>
          <a:endParaRPr lang="en-IN" sz="1800" b="1">
            <a:solidFill>
              <a:srgbClr val="580A46"/>
            </a:solidFill>
          </a:endParaRPr>
        </a:p>
      </xdr:txBody>
    </xdr:sp>
    <xdr:clientData/>
  </xdr:twoCellAnchor>
  <xdr:twoCellAnchor>
    <xdr:from>
      <xdr:col>19</xdr:col>
      <xdr:colOff>249526</xdr:colOff>
      <xdr:row>5</xdr:row>
      <xdr:rowOff>118971</xdr:rowOff>
    </xdr:from>
    <xdr:to>
      <xdr:col>22</xdr:col>
      <xdr:colOff>32275</xdr:colOff>
      <xdr:row>7</xdr:row>
      <xdr:rowOff>59523</xdr:rowOff>
    </xdr:to>
    <xdr:sp macro="" textlink="">
      <xdr:nvSpPr>
        <xdr:cNvPr id="44" name="TextBox 43">
          <a:extLst>
            <a:ext uri="{FF2B5EF4-FFF2-40B4-BE49-F238E27FC236}">
              <a16:creationId xmlns:a16="http://schemas.microsoft.com/office/drawing/2014/main" id="{B64113A2-BD90-C642-B0FD-0F43FFBAE212}"/>
            </a:ext>
          </a:extLst>
        </xdr:cNvPr>
        <xdr:cNvSpPr txBox="1"/>
      </xdr:nvSpPr>
      <xdr:spPr>
        <a:xfrm>
          <a:off x="11821730" y="1031225"/>
          <a:ext cx="1609939" cy="3054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PRODUCTS</a:t>
          </a:r>
          <a:r>
            <a:rPr lang="en-IN" sz="1600" b="1" baseline="0"/>
            <a:t> SOLD</a:t>
          </a:r>
          <a:r>
            <a:rPr lang="en-IN" sz="1600"/>
            <a:t> </a:t>
          </a:r>
          <a:endParaRPr lang="en-IN" sz="1600" b="1">
            <a:solidFill>
              <a:srgbClr val="580A46"/>
            </a:solidFill>
          </a:endParaRPr>
        </a:p>
      </xdr:txBody>
    </xdr:sp>
    <xdr:clientData/>
  </xdr:twoCellAnchor>
  <xdr:twoCellAnchor>
    <xdr:from>
      <xdr:col>19</xdr:col>
      <xdr:colOff>140511</xdr:colOff>
      <xdr:row>6</xdr:row>
      <xdr:rowOff>27021</xdr:rowOff>
    </xdr:from>
    <xdr:to>
      <xdr:col>22</xdr:col>
      <xdr:colOff>86468</xdr:colOff>
      <xdr:row>6</xdr:row>
      <xdr:rowOff>27021</xdr:rowOff>
    </xdr:to>
    <xdr:cxnSp macro="">
      <xdr:nvCxnSpPr>
        <xdr:cNvPr id="46" name="Straight Connector 45">
          <a:extLst>
            <a:ext uri="{FF2B5EF4-FFF2-40B4-BE49-F238E27FC236}">
              <a16:creationId xmlns:a16="http://schemas.microsoft.com/office/drawing/2014/main" id="{DF248BF1-7585-30A7-0C37-4EBE19702B6B}"/>
            </a:ext>
          </a:extLst>
        </xdr:cNvPr>
        <xdr:cNvCxnSpPr/>
      </xdr:nvCxnSpPr>
      <xdr:spPr>
        <a:xfrm>
          <a:off x="11743447" y="1129489"/>
          <a:ext cx="1778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529928</xdr:colOff>
      <xdr:row>5</xdr:row>
      <xdr:rowOff>138148</xdr:rowOff>
    </xdr:from>
    <xdr:to>
      <xdr:col>19</xdr:col>
      <xdr:colOff>250710</xdr:colOff>
      <xdr:row>7</xdr:row>
      <xdr:rowOff>102493</xdr:rowOff>
    </xdr:to>
    <xdr:pic>
      <xdr:nvPicPr>
        <xdr:cNvPr id="48" name="Picture 47">
          <a:extLst>
            <a:ext uri="{FF2B5EF4-FFF2-40B4-BE49-F238E27FC236}">
              <a16:creationId xmlns:a16="http://schemas.microsoft.com/office/drawing/2014/main" id="{1BB6869E-6E69-8186-C999-FC83F2A70D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518770" y="1051657"/>
          <a:ext cx="331273" cy="329748"/>
        </a:xfrm>
        <a:prstGeom prst="rect">
          <a:avLst/>
        </a:prstGeom>
      </xdr:spPr>
    </xdr:pic>
    <xdr:clientData/>
  </xdr:twoCellAnchor>
  <xdr:twoCellAnchor>
    <xdr:from>
      <xdr:col>19</xdr:col>
      <xdr:colOff>583770</xdr:colOff>
      <xdr:row>7</xdr:row>
      <xdr:rowOff>10159</xdr:rowOff>
    </xdr:from>
    <xdr:to>
      <xdr:col>21</xdr:col>
      <xdr:colOff>531983</xdr:colOff>
      <xdr:row>8</xdr:row>
      <xdr:rowOff>98934</xdr:rowOff>
    </xdr:to>
    <xdr:sp macro="" textlink="Sheet3!D6">
      <xdr:nvSpPr>
        <xdr:cNvPr id="49" name="TextBox 48">
          <a:extLst>
            <a:ext uri="{FF2B5EF4-FFF2-40B4-BE49-F238E27FC236}">
              <a16:creationId xmlns:a16="http://schemas.microsoft.com/office/drawing/2014/main" id="{910428F1-E850-DA41-9E07-3639BC9DCE52}"/>
            </a:ext>
          </a:extLst>
        </xdr:cNvPr>
        <xdr:cNvSpPr txBox="1"/>
      </xdr:nvSpPr>
      <xdr:spPr>
        <a:xfrm>
          <a:off x="12155974" y="1287314"/>
          <a:ext cx="1166340" cy="271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34AACE-6809-454A-B612-5FB729108290}" type="TxLink">
            <a:rPr lang="en-US" sz="1800" b="1" i="0" u="none" strike="noStrike">
              <a:solidFill>
                <a:srgbClr val="580A46"/>
              </a:solidFill>
              <a:latin typeface="Calibri"/>
              <a:ea typeface="Calibri"/>
              <a:cs typeface="Calibri"/>
            </a:rPr>
            <a:pPr/>
            <a:t>1302</a:t>
          </a:fld>
          <a:endParaRPr lang="en-IN" sz="1800" b="1">
            <a:solidFill>
              <a:srgbClr val="580A46"/>
            </a:solidFill>
          </a:endParaRPr>
        </a:p>
      </xdr:txBody>
    </xdr:sp>
    <xdr:clientData/>
  </xdr:twoCellAnchor>
  <xdr:twoCellAnchor editAs="oneCell">
    <xdr:from>
      <xdr:col>3</xdr:col>
      <xdr:colOff>22767</xdr:colOff>
      <xdr:row>18</xdr:row>
      <xdr:rowOff>51296</xdr:rowOff>
    </xdr:from>
    <xdr:to>
      <xdr:col>6</xdr:col>
      <xdr:colOff>38007</xdr:colOff>
      <xdr:row>36</xdr:row>
      <xdr:rowOff>22860</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72DABD5A-61ED-4BDF-9E00-0551B375B8E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51567" y="3343136"/>
              <a:ext cx="1844040" cy="3263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30202</xdr:colOff>
      <xdr:row>5</xdr:row>
      <xdr:rowOff>99060</xdr:rowOff>
    </xdr:from>
    <xdr:to>
      <xdr:col>6</xdr:col>
      <xdr:colOff>30202</xdr:colOff>
      <xdr:row>18</xdr:row>
      <xdr:rowOff>38100</xdr:rowOff>
    </xdr:to>
    <mc:AlternateContent xmlns:mc="http://schemas.openxmlformats.org/markup-compatibility/2006" xmlns:a14="http://schemas.microsoft.com/office/drawing/2010/main">
      <mc:Choice Requires="a14">
        <xdr:graphicFrame macro="">
          <xdr:nvGraphicFramePr>
            <xdr:cNvPr id="22" name="Order_Status 1">
              <a:extLst>
                <a:ext uri="{FF2B5EF4-FFF2-40B4-BE49-F238E27FC236}">
                  <a16:creationId xmlns:a16="http://schemas.microsoft.com/office/drawing/2014/main" id="{8D5DA661-2AEB-4C9D-B2EB-816C3DC6306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859002" y="1013460"/>
              <a:ext cx="1828800" cy="231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99060</xdr:rowOff>
    </xdr:from>
    <xdr:to>
      <xdr:col>3</xdr:col>
      <xdr:colOff>45255</xdr:colOff>
      <xdr:row>18</xdr:row>
      <xdr:rowOff>38100</xdr:rowOff>
    </xdr:to>
    <mc:AlternateContent xmlns:mc="http://schemas.openxmlformats.org/markup-compatibility/2006" xmlns:a14="http://schemas.microsoft.com/office/drawing/2010/main">
      <mc:Choice Requires="a14">
        <xdr:graphicFrame macro="">
          <xdr:nvGraphicFramePr>
            <xdr:cNvPr id="23" name="Payment_Mode 1">
              <a:extLst>
                <a:ext uri="{FF2B5EF4-FFF2-40B4-BE49-F238E27FC236}">
                  <a16:creationId xmlns:a16="http://schemas.microsoft.com/office/drawing/2014/main" id="{4F6F63F5-372D-43A0-B698-6D1E377EE6E0}"/>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0" y="1013460"/>
              <a:ext cx="1874055" cy="231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53340</xdr:rowOff>
    </xdr:from>
    <xdr:to>
      <xdr:col>3</xdr:col>
      <xdr:colOff>7620</xdr:colOff>
      <xdr:row>36</xdr:row>
      <xdr:rowOff>30480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114B3B89-2807-4D16-A2C0-0D740185FD6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3345180"/>
              <a:ext cx="1828800" cy="3268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10</xdr:row>
      <xdr:rowOff>30480</xdr:rowOff>
    </xdr:from>
    <xdr:to>
      <xdr:col>14</xdr:col>
      <xdr:colOff>144780</xdr:colOff>
      <xdr:row>22</xdr:row>
      <xdr:rowOff>22860</xdr:rowOff>
    </xdr:to>
    <xdr:graphicFrame macro="">
      <xdr:nvGraphicFramePr>
        <xdr:cNvPr id="50" name="Chart 49">
          <a:extLst>
            <a:ext uri="{FF2B5EF4-FFF2-40B4-BE49-F238E27FC236}">
              <a16:creationId xmlns:a16="http://schemas.microsoft.com/office/drawing/2014/main" id="{93A054FF-2194-45D4-9756-492E576CC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236220</xdr:colOff>
      <xdr:row>10</xdr:row>
      <xdr:rowOff>30480</xdr:rowOff>
    </xdr:from>
    <xdr:to>
      <xdr:col>22</xdr:col>
      <xdr:colOff>327660</xdr:colOff>
      <xdr:row>22</xdr:row>
      <xdr:rowOff>22860</xdr:rowOff>
    </xdr:to>
    <xdr:graphicFrame macro="">
      <xdr:nvGraphicFramePr>
        <xdr:cNvPr id="51" name="Chart 50">
          <a:extLst>
            <a:ext uri="{FF2B5EF4-FFF2-40B4-BE49-F238E27FC236}">
              <a16:creationId xmlns:a16="http://schemas.microsoft.com/office/drawing/2014/main" id="{9664FB42-C168-41F9-8C48-2D4FB9B26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259080</xdr:colOff>
      <xdr:row>22</xdr:row>
      <xdr:rowOff>99060</xdr:rowOff>
    </xdr:from>
    <xdr:to>
      <xdr:col>14</xdr:col>
      <xdr:colOff>137160</xdr:colOff>
      <xdr:row>35</xdr:row>
      <xdr:rowOff>38100</xdr:rowOff>
    </xdr:to>
    <xdr:graphicFrame macro="">
      <xdr:nvGraphicFramePr>
        <xdr:cNvPr id="52" name="Chart 51">
          <a:extLst>
            <a:ext uri="{FF2B5EF4-FFF2-40B4-BE49-F238E27FC236}">
              <a16:creationId xmlns:a16="http://schemas.microsoft.com/office/drawing/2014/main" id="{E2B25AD8-C8E3-45FB-979B-32E95E978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236220</xdr:colOff>
      <xdr:row>22</xdr:row>
      <xdr:rowOff>106680</xdr:rowOff>
    </xdr:from>
    <xdr:to>
      <xdr:col>22</xdr:col>
      <xdr:colOff>350520</xdr:colOff>
      <xdr:row>35</xdr:row>
      <xdr:rowOff>53340</xdr:rowOff>
    </xdr:to>
    <xdr:graphicFrame macro="">
      <xdr:nvGraphicFramePr>
        <xdr:cNvPr id="53" name="Chart 52">
          <a:extLst>
            <a:ext uri="{FF2B5EF4-FFF2-40B4-BE49-F238E27FC236}">
              <a16:creationId xmlns:a16="http://schemas.microsoft.com/office/drawing/2014/main" id="{6815C7B0-1C6E-44AE-AF7B-F05C09A9F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sh lahrani" refreshedDate="46291.519445254627" createdVersion="8" refreshedVersion="8" minRefreshableVersion="3" recordCount="1000" xr:uid="{7AD78715-724F-4179-9CA6-07ACFE910F6A}">
  <cacheSource type="worksheet">
    <worksheetSource ref="A1:V1001" sheet="Dataset"/>
  </cacheSource>
  <cacheFields count="22">
    <cacheField name="Order_ID" numFmtId="0">
      <sharedItems/>
    </cacheField>
    <cacheField name="Order_Date" numFmtId="164">
      <sharedItems containsSemiMixedTypes="0" containsNonDate="0" containsDate="1" containsString="0" minDate="2026-01-01T00:00:00" maxDate="2026-09-25T00:00:00"/>
    </cacheField>
    <cacheField name="Month" numFmtId="0">
      <sharedItems count="9">
        <s v="Apr"/>
        <s v="Mar"/>
        <s v="Jul"/>
        <s v="Jan"/>
        <s v="May"/>
        <s v="Aug"/>
        <s v="Jun"/>
        <s v="Sep"/>
        <s v="Feb"/>
      </sharedItems>
    </cacheField>
    <cacheField name="Product" numFmtId="0">
      <sharedItems/>
    </cacheField>
    <cacheField name="Category" numFmtId="0">
      <sharedItems count="8">
        <s v="Beauty"/>
        <s v="Kids"/>
        <s v="Men Fashion"/>
        <s v="Women Fashion"/>
        <s v="Home &amp; Kitchen"/>
        <s v="Footwear"/>
        <s v="Accessories"/>
        <s v="Jewellery"/>
      </sharedItems>
    </cacheField>
    <cacheField name="City" numFmtId="0">
      <sharedItems count="10">
        <s v="Pune"/>
        <s v="Bengaluru"/>
        <s v="Mumbai"/>
        <s v="Kolkata"/>
        <s v="Jaipur"/>
        <s v="Nagpur"/>
        <s v="Lucknow"/>
        <s v="Delhi"/>
        <s v="Hyderabad"/>
        <s v="Ahmedabad"/>
      </sharedItems>
    </cacheField>
    <cacheField name="State" numFmtId="0">
      <sharedItems/>
    </cacheField>
    <cacheField name="Quantity" numFmtId="0">
      <sharedItems containsSemiMixedTypes="0" containsString="0" containsNumber="1" containsInteger="1" minValue="1" maxValue="3"/>
    </cacheField>
    <cacheField name="MRP" numFmtId="165">
      <sharedItems containsSemiMixedTypes="0" containsString="0" containsNumber="1" containsInteger="1" minValue="249" maxValue="899"/>
    </cacheField>
    <cacheField name="Discount_%" numFmtId="9">
      <sharedItems containsSemiMixedTypes="0" containsString="0" containsNumber="1" containsInteger="1" minValue="5" maxValue="40"/>
    </cacheField>
    <cacheField name="Selling_Price" numFmtId="165">
      <sharedItems containsSemiMixedTypes="0" containsString="0" containsNumber="1" containsInteger="1" minValue="149" maxValue="854"/>
    </cacheField>
    <cacheField name="Sales_Amount" numFmtId="165">
      <sharedItems containsSemiMixedTypes="0" containsString="0" containsNumber="1" containsInteger="1" minValue="149" maxValue="2427"/>
    </cacheField>
    <cacheField name="Order_Status" numFmtId="0">
      <sharedItems count="5">
        <s v="Delivered"/>
        <s v="Pending"/>
        <s v="Returned"/>
        <s v="Shipped"/>
        <s v="Cancelled"/>
      </sharedItems>
    </cacheField>
    <cacheField name="Payment_Mode" numFmtId="0">
      <sharedItems count="4">
        <s v="Prepaid"/>
        <s v="COD"/>
        <s v="Debit Card"/>
        <s v="Credit Card"/>
      </sharedItems>
    </cacheField>
    <cacheField name="Shipping_Cost" numFmtId="165">
      <sharedItems containsSemiMixedTypes="0" containsString="0" containsNumber="1" containsInteger="1" minValue="35" maxValue="65"/>
    </cacheField>
    <cacheField name="Return_Flag" numFmtId="0">
      <sharedItems/>
    </cacheField>
    <cacheField name="Platform_Fee" numFmtId="165">
      <sharedItems containsSemiMixedTypes="0" containsString="0" containsNumber="1" minValue="6.5" maxValue="159.05000000000001"/>
    </cacheField>
    <cacheField name="Product_Cost" numFmtId="165">
      <sharedItems containsSemiMixedTypes="0" containsString="0" containsNumber="1" minValue="66.84" maxValue="1252.28"/>
    </cacheField>
    <cacheField name="Estimated_Profit" numFmtId="165">
      <sharedItems containsSemiMixedTypes="0" containsString="0" containsNumber="1" minValue="11.9" maxValue="1116.71"/>
    </cacheField>
    <cacheField name="AOV" numFmtId="165">
      <sharedItems containsSemiMixedTypes="0" containsString="0" containsNumber="1" containsInteger="1" minValue="149" maxValue="854"/>
    </cacheField>
    <cacheField name="Week" numFmtId="165">
      <sharedItems containsSemiMixedTypes="0" containsString="0" containsNumber="1" containsInteger="1" minValue="1" maxValue="39"/>
    </cacheField>
    <cacheField name="Order_Month" numFmtId="0">
      <sharedItems/>
    </cacheField>
  </cacheFields>
  <extLst>
    <ext xmlns:x14="http://schemas.microsoft.com/office/spreadsheetml/2009/9/main" uri="{725AE2AE-9491-48be-B2B4-4EB974FC3084}">
      <x14:pivotCacheDefinition pivotCacheId="1098463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MS100000"/>
    <d v="2026-04-13T00:00:00"/>
    <x v="0"/>
    <s v="Makeup Organizer"/>
    <x v="0"/>
    <x v="0"/>
    <s v="Maharashtra"/>
    <n v="1"/>
    <n v="349"/>
    <n v="30"/>
    <n v="244"/>
    <n v="244"/>
    <x v="0"/>
    <x v="0"/>
    <n v="65"/>
    <s v="No"/>
    <n v="17.28"/>
    <n v="104.15"/>
    <n v="57.57"/>
    <n v="244"/>
    <n v="16"/>
    <s v="2026-04"/>
  </r>
  <r>
    <s v="MS100001"/>
    <d v="2026-04-17T00:00:00"/>
    <x v="0"/>
    <s v="Kids Dress"/>
    <x v="1"/>
    <x v="1"/>
    <s v="Karnataka"/>
    <n v="1"/>
    <n v="599"/>
    <n v="15"/>
    <n v="509"/>
    <n v="509"/>
    <x v="0"/>
    <x v="1"/>
    <n v="45"/>
    <s v="No"/>
    <n v="28.44"/>
    <n v="262.33999999999997"/>
    <n v="173.22"/>
    <n v="509"/>
    <n v="16"/>
    <s v="2026-04"/>
  </r>
  <r>
    <s v="MS100002"/>
    <d v="2026-03-13T00:00:00"/>
    <x v="1"/>
    <s v="Men's T-Shirt"/>
    <x v="2"/>
    <x v="2"/>
    <s v="Maharashtra"/>
    <n v="1"/>
    <n v="449"/>
    <n v="20"/>
    <n v="359"/>
    <n v="359"/>
    <x v="0"/>
    <x v="0"/>
    <n v="65"/>
    <s v="No"/>
    <n v="15.1"/>
    <n v="168.6"/>
    <n v="110.3"/>
    <n v="359"/>
    <n v="11"/>
    <s v="2026-03"/>
  </r>
  <r>
    <s v="MS100003"/>
    <d v="2026-07-08T00:00:00"/>
    <x v="2"/>
    <s v="Printed Saree"/>
    <x v="3"/>
    <x v="3"/>
    <s v="West Bengal"/>
    <n v="2"/>
    <n v="899"/>
    <n v="10"/>
    <n v="809"/>
    <n v="1618"/>
    <x v="0"/>
    <x v="0"/>
    <n v="35"/>
    <s v="No"/>
    <n v="91.44"/>
    <n v="793.62"/>
    <n v="697.94"/>
    <n v="809"/>
    <n v="28"/>
    <s v="2026-07"/>
  </r>
  <r>
    <s v="MS100004"/>
    <d v="2026-01-21T00:00:00"/>
    <x v="3"/>
    <s v="Kitchen Storage Set"/>
    <x v="4"/>
    <x v="4"/>
    <s v="Rajasthan"/>
    <n v="1"/>
    <n v="499"/>
    <n v="10"/>
    <n v="449"/>
    <n v="449"/>
    <x v="0"/>
    <x v="1"/>
    <n v="55"/>
    <s v="No"/>
    <n v="22.85"/>
    <n v="215.08"/>
    <n v="156.07"/>
    <n v="449"/>
    <n v="4"/>
    <s v="2026-01"/>
  </r>
  <r>
    <s v="MS100005"/>
    <d v="2026-04-13T00:00:00"/>
    <x v="0"/>
    <s v="Women's Slippers"/>
    <x v="5"/>
    <x v="2"/>
    <s v="Maharashtra"/>
    <n v="1"/>
    <n v="299"/>
    <n v="40"/>
    <n v="179"/>
    <n v="179"/>
    <x v="0"/>
    <x v="0"/>
    <n v="55"/>
    <s v="No"/>
    <n v="7.78"/>
    <n v="92.33"/>
    <n v="23.89"/>
    <n v="179"/>
    <n v="16"/>
    <s v="2026-04"/>
  </r>
  <r>
    <s v="MS100006"/>
    <d v="2026-05-02T00:00:00"/>
    <x v="4"/>
    <s v="Women's Top"/>
    <x v="3"/>
    <x v="2"/>
    <s v="Maharashtra"/>
    <n v="1"/>
    <n v="399"/>
    <n v="25"/>
    <n v="299"/>
    <n v="299"/>
    <x v="1"/>
    <x v="0"/>
    <n v="35"/>
    <s v="No"/>
    <n v="22.76"/>
    <n v="144.91999999999999"/>
    <n v="96.32"/>
    <n v="299"/>
    <n v="18"/>
    <s v="2026-05"/>
  </r>
  <r>
    <s v="MS100007"/>
    <d v="2026-08-03T00:00:00"/>
    <x v="5"/>
    <s v="Kitchen Storage Set"/>
    <x v="4"/>
    <x v="5"/>
    <s v="Maharashtra"/>
    <n v="1"/>
    <n v="499"/>
    <n v="25"/>
    <n v="374"/>
    <n v="374"/>
    <x v="2"/>
    <x v="1"/>
    <n v="55"/>
    <s v="Yes"/>
    <n v="23.27"/>
    <n v="174.78"/>
    <n v="120.95"/>
    <n v="374"/>
    <n v="32"/>
    <s v="2026-08"/>
  </r>
  <r>
    <s v="MS100008"/>
    <d v="2026-03-29T00:00:00"/>
    <x v="1"/>
    <s v="Women's Top"/>
    <x v="3"/>
    <x v="4"/>
    <s v="Rajasthan"/>
    <n v="1"/>
    <n v="399"/>
    <n v="35"/>
    <n v="259"/>
    <n v="259"/>
    <x v="2"/>
    <x v="1"/>
    <n v="55"/>
    <s v="Yes"/>
    <n v="18.600000000000001"/>
    <n v="128.08000000000001"/>
    <n v="57.32"/>
    <n v="259"/>
    <n v="13"/>
    <s v="2026-03"/>
  </r>
  <r>
    <s v="MS100009"/>
    <d v="2026-04-10T00:00:00"/>
    <x v="0"/>
    <s v="Handbag"/>
    <x v="6"/>
    <x v="0"/>
    <s v="Maharashtra"/>
    <n v="1"/>
    <n v="549"/>
    <n v="25"/>
    <n v="412"/>
    <n v="412"/>
    <x v="3"/>
    <x v="1"/>
    <n v="65"/>
    <s v="No"/>
    <n v="20.27"/>
    <n v="178.01"/>
    <n v="148.72"/>
    <n v="412"/>
    <n v="15"/>
    <s v="2026-04"/>
  </r>
  <r>
    <s v="MS100010"/>
    <d v="2026-06-01T00:00:00"/>
    <x v="6"/>
    <s v="Women's Top"/>
    <x v="3"/>
    <x v="6"/>
    <s v="Uttar Pradesh"/>
    <n v="1"/>
    <n v="399"/>
    <n v="20"/>
    <n v="319"/>
    <n v="319"/>
    <x v="0"/>
    <x v="1"/>
    <n v="65"/>
    <s v="No"/>
    <n v="19.64"/>
    <n v="159.19999999999999"/>
    <n v="75.16"/>
    <n v="319"/>
    <n v="23"/>
    <s v="2026-06"/>
  </r>
  <r>
    <s v="MS100011"/>
    <d v="2026-05-11T00:00:00"/>
    <x v="4"/>
    <s v="Printed Saree"/>
    <x v="3"/>
    <x v="2"/>
    <s v="Maharashtra"/>
    <n v="2"/>
    <n v="899"/>
    <n v="25"/>
    <n v="674"/>
    <n v="1348"/>
    <x v="0"/>
    <x v="1"/>
    <n v="55"/>
    <s v="No"/>
    <n v="78.83"/>
    <n v="699.66"/>
    <n v="514.51"/>
    <n v="674"/>
    <n v="20"/>
    <s v="2026-05"/>
  </r>
  <r>
    <s v="MS100012"/>
    <d v="2026-05-30T00:00:00"/>
    <x v="4"/>
    <s v="Printed Saree"/>
    <x v="3"/>
    <x v="7"/>
    <s v="Delhi"/>
    <n v="1"/>
    <n v="899"/>
    <n v="5"/>
    <n v="854"/>
    <n v="854"/>
    <x v="0"/>
    <x v="0"/>
    <n v="35"/>
    <s v="No"/>
    <n v="47.89"/>
    <n v="399.66"/>
    <n v="371.45"/>
    <n v="854"/>
    <n v="22"/>
    <s v="2026-05"/>
  </r>
  <r>
    <s v="MS100013"/>
    <d v="2026-09-15T00:00:00"/>
    <x v="7"/>
    <s v="Men's T-Shirt"/>
    <x v="2"/>
    <x v="3"/>
    <s v="West Bengal"/>
    <n v="2"/>
    <n v="449"/>
    <n v="20"/>
    <n v="359"/>
    <n v="718"/>
    <x v="0"/>
    <x v="1"/>
    <n v="35"/>
    <s v="No"/>
    <n v="49.75"/>
    <n v="301.8"/>
    <n v="331.45"/>
    <n v="359"/>
    <n v="38"/>
    <s v="2026-09"/>
  </r>
  <r>
    <s v="MS100014"/>
    <d v="2026-07-11T00:00:00"/>
    <x v="2"/>
    <s v="Men's T-Shirt"/>
    <x v="2"/>
    <x v="0"/>
    <s v="Maharashtra"/>
    <n v="1"/>
    <n v="449"/>
    <n v="15"/>
    <n v="382"/>
    <n v="382"/>
    <x v="0"/>
    <x v="1"/>
    <n v="35"/>
    <s v="No"/>
    <n v="29.19"/>
    <n v="162.16"/>
    <n v="155.65"/>
    <n v="382"/>
    <n v="28"/>
    <s v="2026-07"/>
  </r>
  <r>
    <s v="MS100015"/>
    <d v="2026-06-10T00:00:00"/>
    <x v="6"/>
    <s v="Kitchen Storage Set"/>
    <x v="4"/>
    <x v="6"/>
    <s v="Uttar Pradesh"/>
    <n v="1"/>
    <n v="499"/>
    <n v="40"/>
    <n v="299"/>
    <n v="299"/>
    <x v="3"/>
    <x v="0"/>
    <n v="35"/>
    <s v="No"/>
    <n v="13.03"/>
    <n v="138.07"/>
    <n v="112.9"/>
    <n v="299"/>
    <n v="24"/>
    <s v="2026-06"/>
  </r>
  <r>
    <s v="MS100016"/>
    <d v="2026-01-22T00:00:00"/>
    <x v="3"/>
    <s v="Men's T-Shirt"/>
    <x v="2"/>
    <x v="0"/>
    <s v="Maharashtra"/>
    <n v="1"/>
    <n v="449"/>
    <n v="40"/>
    <n v="269"/>
    <n v="269"/>
    <x v="0"/>
    <x v="0"/>
    <n v="65"/>
    <s v="No"/>
    <n v="19.78"/>
    <n v="119.18"/>
    <n v="65.040000000000006"/>
    <n v="269"/>
    <n v="4"/>
    <s v="2026-01"/>
  </r>
  <r>
    <s v="MS100017"/>
    <d v="2026-09-10T00:00:00"/>
    <x v="7"/>
    <s v="Makeup Organizer"/>
    <x v="0"/>
    <x v="0"/>
    <s v="Maharashtra"/>
    <n v="1"/>
    <n v="349"/>
    <n v="5"/>
    <n v="332"/>
    <n v="332"/>
    <x v="2"/>
    <x v="0"/>
    <n v="65"/>
    <s v="Yes"/>
    <n v="17.93"/>
    <n v="141.36000000000001"/>
    <n v="107.71"/>
    <n v="332"/>
    <n v="37"/>
    <s v="2026-09"/>
  </r>
  <r>
    <s v="MS100018"/>
    <d v="2026-08-24T00:00:00"/>
    <x v="5"/>
    <s v="Women Kurti Set"/>
    <x v="3"/>
    <x v="3"/>
    <s v="West Bengal"/>
    <n v="2"/>
    <n v="699"/>
    <n v="40"/>
    <n v="419"/>
    <n v="838"/>
    <x v="0"/>
    <x v="0"/>
    <n v="45"/>
    <s v="No"/>
    <n v="50.79"/>
    <n v="393.12"/>
    <n v="349.09"/>
    <n v="419"/>
    <n v="35"/>
    <s v="2026-08"/>
  </r>
  <r>
    <s v="MS100019"/>
    <d v="2026-02-18T00:00:00"/>
    <x v="8"/>
    <s v="Handbag"/>
    <x v="6"/>
    <x v="7"/>
    <s v="Delhi"/>
    <n v="1"/>
    <n v="549"/>
    <n v="15"/>
    <n v="467"/>
    <n v="467"/>
    <x v="0"/>
    <x v="1"/>
    <n v="35"/>
    <s v="No"/>
    <n v="35.4"/>
    <n v="236.31"/>
    <n v="160.29"/>
    <n v="467"/>
    <n v="8"/>
    <s v="2026-02"/>
  </r>
  <r>
    <s v="MS100020"/>
    <d v="2026-02-28T00:00:00"/>
    <x v="8"/>
    <s v="Men's T-Shirt"/>
    <x v="2"/>
    <x v="7"/>
    <s v="Delhi"/>
    <n v="1"/>
    <n v="449"/>
    <n v="20"/>
    <n v="359"/>
    <n v="359"/>
    <x v="0"/>
    <x v="0"/>
    <n v="45"/>
    <s v="No"/>
    <n v="26.74"/>
    <n v="179.84"/>
    <n v="107.42"/>
    <n v="359"/>
    <n v="9"/>
    <s v="2026-02"/>
  </r>
  <r>
    <s v="MS100021"/>
    <d v="2026-06-19T00:00:00"/>
    <x v="6"/>
    <s v="Women's Top"/>
    <x v="3"/>
    <x v="0"/>
    <s v="Maharashtra"/>
    <n v="1"/>
    <n v="399"/>
    <n v="20"/>
    <n v="319"/>
    <n v="319"/>
    <x v="0"/>
    <x v="0"/>
    <n v="35"/>
    <s v="No"/>
    <n v="13.38"/>
    <n v="150.97"/>
    <n v="119.65"/>
    <n v="319"/>
    <n v="25"/>
    <s v="2026-06"/>
  </r>
  <r>
    <s v="MS100022"/>
    <d v="2026-07-07T00:00:00"/>
    <x v="2"/>
    <s v="Women's Slippers"/>
    <x v="5"/>
    <x v="8"/>
    <s v="Telangana"/>
    <n v="3"/>
    <n v="299"/>
    <n v="10"/>
    <n v="269"/>
    <n v="807"/>
    <x v="4"/>
    <x v="1"/>
    <n v="45"/>
    <s v="No"/>
    <n v="51.4"/>
    <n v="405.49"/>
    <n v="305.11"/>
    <n v="269"/>
    <n v="28"/>
    <s v="2026-07"/>
  </r>
  <r>
    <s v="MS100023"/>
    <d v="2026-07-09T00:00:00"/>
    <x v="2"/>
    <s v="Printed Saree"/>
    <x v="3"/>
    <x v="6"/>
    <s v="Uttar Pradesh"/>
    <n v="1"/>
    <n v="899"/>
    <n v="15"/>
    <n v="764"/>
    <n v="764"/>
    <x v="4"/>
    <x v="1"/>
    <n v="55"/>
    <s v="No"/>
    <n v="57.09"/>
    <n v="339.62"/>
    <n v="312.29000000000002"/>
    <n v="764"/>
    <n v="28"/>
    <s v="2026-07"/>
  </r>
  <r>
    <s v="MS100024"/>
    <d v="2026-06-24T00:00:00"/>
    <x v="6"/>
    <s v="Kitchen Storage Set"/>
    <x v="4"/>
    <x v="3"/>
    <s v="West Bengal"/>
    <n v="2"/>
    <n v="499"/>
    <n v="10"/>
    <n v="449"/>
    <n v="898"/>
    <x v="3"/>
    <x v="0"/>
    <n v="65"/>
    <s v="No"/>
    <n v="41.62"/>
    <n v="456.26"/>
    <n v="335.12"/>
    <n v="449"/>
    <n v="26"/>
    <s v="2026-06"/>
  </r>
  <r>
    <s v="MS100025"/>
    <d v="2026-02-20T00:00:00"/>
    <x v="8"/>
    <s v="Handbag"/>
    <x v="6"/>
    <x v="4"/>
    <s v="Rajasthan"/>
    <n v="1"/>
    <n v="549"/>
    <n v="30"/>
    <n v="384"/>
    <n v="384"/>
    <x v="0"/>
    <x v="0"/>
    <n v="55"/>
    <s v="No"/>
    <n v="17.829999999999998"/>
    <n v="192.69"/>
    <n v="118.48"/>
    <n v="384"/>
    <n v="8"/>
    <s v="2026-02"/>
  </r>
  <r>
    <s v="MS100026"/>
    <d v="2026-02-24T00:00:00"/>
    <x v="8"/>
    <s v="Women's Slippers"/>
    <x v="5"/>
    <x v="4"/>
    <s v="Rajasthan"/>
    <n v="1"/>
    <n v="299"/>
    <n v="10"/>
    <n v="269"/>
    <n v="269"/>
    <x v="0"/>
    <x v="0"/>
    <n v="35"/>
    <s v="No"/>
    <n v="17.559999999999999"/>
    <n v="119.97"/>
    <n v="96.47"/>
    <n v="269"/>
    <n v="9"/>
    <s v="2026-02"/>
  </r>
  <r>
    <s v="MS100027"/>
    <d v="2026-09-01T00:00:00"/>
    <x v="7"/>
    <s v="Men's T-Shirt"/>
    <x v="2"/>
    <x v="7"/>
    <s v="Delhi"/>
    <n v="1"/>
    <n v="449"/>
    <n v="15"/>
    <n v="382"/>
    <n v="382"/>
    <x v="0"/>
    <x v="0"/>
    <n v="35"/>
    <s v="No"/>
    <n v="29.99"/>
    <n v="173.5"/>
    <n v="143.51"/>
    <n v="382"/>
    <n v="36"/>
    <s v="2026-09"/>
  </r>
  <r>
    <s v="MS100028"/>
    <d v="2026-05-11T00:00:00"/>
    <x v="4"/>
    <s v="Women's Top"/>
    <x v="3"/>
    <x v="9"/>
    <s v="Gujarat"/>
    <n v="2"/>
    <n v="399"/>
    <n v="25"/>
    <n v="299"/>
    <n v="598"/>
    <x v="0"/>
    <x v="0"/>
    <n v="55"/>
    <s v="No"/>
    <n v="27.9"/>
    <n v="297.26"/>
    <n v="217.84"/>
    <n v="299"/>
    <n v="20"/>
    <s v="2026-05"/>
  </r>
  <r>
    <s v="MS100029"/>
    <d v="2026-05-15T00:00:00"/>
    <x v="4"/>
    <s v="Leggings"/>
    <x v="3"/>
    <x v="2"/>
    <s v="Maharashtra"/>
    <n v="1"/>
    <n v="299"/>
    <n v="10"/>
    <n v="269"/>
    <n v="269"/>
    <x v="1"/>
    <x v="0"/>
    <n v="45"/>
    <s v="No"/>
    <n v="21.23"/>
    <n v="139.04"/>
    <n v="63.73"/>
    <n v="269"/>
    <n v="20"/>
    <s v="2026-05"/>
  </r>
  <r>
    <s v="MS100030"/>
    <d v="2026-01-21T00:00:00"/>
    <x v="3"/>
    <s v="Handbag"/>
    <x v="6"/>
    <x v="1"/>
    <s v="Karnataka"/>
    <n v="2"/>
    <n v="549"/>
    <n v="5"/>
    <n v="522"/>
    <n v="1044"/>
    <x v="0"/>
    <x v="1"/>
    <n v="45"/>
    <s v="No"/>
    <n v="57.29"/>
    <n v="523.96"/>
    <n v="417.75"/>
    <n v="522"/>
    <n v="4"/>
    <s v="2026-01"/>
  </r>
  <r>
    <s v="MS100031"/>
    <d v="2026-06-16T00:00:00"/>
    <x v="6"/>
    <s v="Oxidised Jewellery Set"/>
    <x v="7"/>
    <x v="5"/>
    <s v="Maharashtra"/>
    <n v="1"/>
    <n v="249"/>
    <n v="20"/>
    <n v="199"/>
    <n v="199"/>
    <x v="2"/>
    <x v="0"/>
    <n v="55"/>
    <s v="Yes"/>
    <n v="11.55"/>
    <n v="86.84"/>
    <n v="45.61"/>
    <n v="199"/>
    <n v="25"/>
    <s v="2026-06"/>
  </r>
  <r>
    <s v="MS100032"/>
    <d v="2026-03-30T00:00:00"/>
    <x v="1"/>
    <s v="Kids Dress"/>
    <x v="1"/>
    <x v="1"/>
    <s v="Karnataka"/>
    <n v="2"/>
    <n v="599"/>
    <n v="30"/>
    <n v="419"/>
    <n v="838"/>
    <x v="0"/>
    <x v="1"/>
    <n v="55"/>
    <s v="No"/>
    <n v="42.68"/>
    <n v="431.64"/>
    <n v="308.68"/>
    <n v="419"/>
    <n v="14"/>
    <s v="2026-03"/>
  </r>
  <r>
    <s v="MS100033"/>
    <d v="2026-01-14T00:00:00"/>
    <x v="3"/>
    <s v="Women's Slippers"/>
    <x v="5"/>
    <x v="8"/>
    <s v="Telangana"/>
    <n v="2"/>
    <n v="299"/>
    <n v="35"/>
    <n v="194"/>
    <n v="388"/>
    <x v="2"/>
    <x v="1"/>
    <n v="55"/>
    <s v="Yes"/>
    <n v="19.78"/>
    <n v="201.14"/>
    <n v="112.08"/>
    <n v="194"/>
    <n v="3"/>
    <s v="2026-01"/>
  </r>
  <r>
    <s v="MS100034"/>
    <d v="2026-08-30T00:00:00"/>
    <x v="5"/>
    <s v="Women's Slippers"/>
    <x v="5"/>
    <x v="9"/>
    <s v="Gujarat"/>
    <n v="1"/>
    <n v="299"/>
    <n v="15"/>
    <n v="254"/>
    <n v="254"/>
    <x v="0"/>
    <x v="1"/>
    <n v="35"/>
    <s v="No"/>
    <n v="17.420000000000002"/>
    <n v="120.97"/>
    <n v="80.61"/>
    <n v="254"/>
    <n v="35"/>
    <s v="2026-08"/>
  </r>
  <r>
    <s v="MS100035"/>
    <d v="2026-09-22T00:00:00"/>
    <x v="7"/>
    <s v="Kids Dress"/>
    <x v="1"/>
    <x v="6"/>
    <s v="Uttar Pradesh"/>
    <n v="1"/>
    <n v="599"/>
    <n v="15"/>
    <n v="509"/>
    <n v="509"/>
    <x v="0"/>
    <x v="0"/>
    <n v="65"/>
    <s v="No"/>
    <n v="36.06"/>
    <n v="256.77999999999997"/>
    <n v="151.16"/>
    <n v="509"/>
    <n v="39"/>
    <s v="2026-09"/>
  </r>
  <r>
    <s v="MS100036"/>
    <d v="2026-02-22T00:00:00"/>
    <x v="8"/>
    <s v="Handbag"/>
    <x v="6"/>
    <x v="8"/>
    <s v="Telangana"/>
    <n v="2"/>
    <n v="549"/>
    <n v="40"/>
    <n v="329"/>
    <n v="658"/>
    <x v="0"/>
    <x v="1"/>
    <n v="55"/>
    <s v="No"/>
    <n v="38.99"/>
    <n v="284.08"/>
    <n v="279.93"/>
    <n v="329"/>
    <n v="8"/>
    <s v="2026-02"/>
  </r>
  <r>
    <s v="MS100037"/>
    <d v="2026-04-02T00:00:00"/>
    <x v="0"/>
    <s v="Women's Slippers"/>
    <x v="5"/>
    <x v="1"/>
    <s v="Karnataka"/>
    <n v="1"/>
    <n v="299"/>
    <n v="15"/>
    <n v="254"/>
    <n v="254"/>
    <x v="0"/>
    <x v="0"/>
    <n v="55"/>
    <s v="No"/>
    <n v="16.78"/>
    <n v="114.96"/>
    <n v="67.260000000000005"/>
    <n v="254"/>
    <n v="14"/>
    <s v="2026-04"/>
  </r>
  <r>
    <s v="MS100038"/>
    <d v="2026-09-21T00:00:00"/>
    <x v="7"/>
    <s v="Men's T-Shirt"/>
    <x v="2"/>
    <x v="2"/>
    <s v="Maharashtra"/>
    <n v="1"/>
    <n v="449"/>
    <n v="10"/>
    <n v="404"/>
    <n v="404"/>
    <x v="0"/>
    <x v="0"/>
    <n v="45"/>
    <s v="No"/>
    <n v="31.91"/>
    <n v="198.84"/>
    <n v="128.25"/>
    <n v="404"/>
    <n v="39"/>
    <s v="2026-09"/>
  </r>
  <r>
    <s v="MS100039"/>
    <d v="2026-02-04T00:00:00"/>
    <x v="8"/>
    <s v="Kitchen Storage Set"/>
    <x v="4"/>
    <x v="2"/>
    <s v="Maharashtra"/>
    <n v="3"/>
    <n v="499"/>
    <n v="35"/>
    <n v="324"/>
    <n v="972"/>
    <x v="3"/>
    <x v="0"/>
    <n v="55"/>
    <s v="No"/>
    <n v="42.96"/>
    <n v="431.77"/>
    <n v="442.27"/>
    <n v="324"/>
    <n v="6"/>
    <s v="2026-02"/>
  </r>
  <r>
    <s v="MS100040"/>
    <d v="2026-07-25T00:00:00"/>
    <x v="2"/>
    <s v="Leggings"/>
    <x v="3"/>
    <x v="9"/>
    <s v="Gujarat"/>
    <n v="1"/>
    <n v="299"/>
    <n v="15"/>
    <n v="254"/>
    <n v="254"/>
    <x v="3"/>
    <x v="1"/>
    <n v="45"/>
    <s v="No"/>
    <n v="13.48"/>
    <n v="119.83"/>
    <n v="75.69"/>
    <n v="254"/>
    <n v="30"/>
    <s v="2026-07"/>
  </r>
  <r>
    <s v="MS100041"/>
    <d v="2026-03-22T00:00:00"/>
    <x v="1"/>
    <s v="Women Kurti Set"/>
    <x v="3"/>
    <x v="1"/>
    <s v="Karnataka"/>
    <n v="1"/>
    <n v="699"/>
    <n v="15"/>
    <n v="594"/>
    <n v="594"/>
    <x v="2"/>
    <x v="1"/>
    <n v="45"/>
    <s v="Yes"/>
    <n v="40.14"/>
    <n v="297.02999999999997"/>
    <n v="211.83"/>
    <n v="594"/>
    <n v="12"/>
    <s v="2026-03"/>
  </r>
  <r>
    <s v="MS100042"/>
    <d v="2026-02-19T00:00:00"/>
    <x v="8"/>
    <s v="Oxidised Jewellery Set"/>
    <x v="7"/>
    <x v="2"/>
    <s v="Maharashtra"/>
    <n v="3"/>
    <n v="249"/>
    <n v="10"/>
    <n v="224"/>
    <n v="672"/>
    <x v="4"/>
    <x v="1"/>
    <n v="35"/>
    <s v="No"/>
    <n v="52.05"/>
    <n v="285.73"/>
    <n v="299.22000000000003"/>
    <n v="224"/>
    <n v="8"/>
    <s v="2026-02"/>
  </r>
  <r>
    <s v="MS100043"/>
    <d v="2026-01-02T00:00:00"/>
    <x v="3"/>
    <s v="Printed Saree"/>
    <x v="3"/>
    <x v="6"/>
    <s v="Uttar Pradesh"/>
    <n v="2"/>
    <n v="899"/>
    <n v="25"/>
    <n v="674"/>
    <n v="1348"/>
    <x v="3"/>
    <x v="0"/>
    <n v="55"/>
    <s v="No"/>
    <n v="97.86"/>
    <n v="576.96"/>
    <n v="618.17999999999995"/>
    <n v="674"/>
    <n v="1"/>
    <s v="2026-01"/>
  </r>
  <r>
    <s v="MS100044"/>
    <d v="2026-02-23T00:00:00"/>
    <x v="8"/>
    <s v="Bedsheet"/>
    <x v="4"/>
    <x v="9"/>
    <s v="Gujarat"/>
    <n v="2"/>
    <n v="699"/>
    <n v="20"/>
    <n v="559"/>
    <n v="1118"/>
    <x v="3"/>
    <x v="0"/>
    <n v="35"/>
    <s v="No"/>
    <n v="52.05"/>
    <n v="518.6"/>
    <n v="512.35"/>
    <n v="559"/>
    <n v="9"/>
    <s v="2026-02"/>
  </r>
  <r>
    <s v="MS100045"/>
    <d v="2026-04-16T00:00:00"/>
    <x v="0"/>
    <s v="Women's Slippers"/>
    <x v="5"/>
    <x v="4"/>
    <s v="Rajasthan"/>
    <n v="1"/>
    <n v="299"/>
    <n v="20"/>
    <n v="239"/>
    <n v="239"/>
    <x v="0"/>
    <x v="1"/>
    <n v="55"/>
    <s v="No"/>
    <n v="18.89"/>
    <n v="108.43"/>
    <n v="56.68"/>
    <n v="239"/>
    <n v="16"/>
    <s v="2026-04"/>
  </r>
  <r>
    <s v="MS100046"/>
    <d v="2026-09-17T00:00:00"/>
    <x v="7"/>
    <s v="Oxidised Jewellery Set"/>
    <x v="7"/>
    <x v="8"/>
    <s v="Telangana"/>
    <n v="1"/>
    <n v="249"/>
    <n v="20"/>
    <n v="199"/>
    <n v="199"/>
    <x v="0"/>
    <x v="1"/>
    <n v="45"/>
    <s v="No"/>
    <n v="13.16"/>
    <n v="90.19"/>
    <n v="50.65"/>
    <n v="199"/>
    <n v="38"/>
    <s v="2026-09"/>
  </r>
  <r>
    <s v="MS100047"/>
    <d v="2026-07-10T00:00:00"/>
    <x v="2"/>
    <s v="Kids Dress"/>
    <x v="1"/>
    <x v="7"/>
    <s v="Delhi"/>
    <n v="1"/>
    <n v="599"/>
    <n v="20"/>
    <n v="479"/>
    <n v="479"/>
    <x v="0"/>
    <x v="1"/>
    <n v="45"/>
    <s v="No"/>
    <n v="19.75"/>
    <n v="213.52"/>
    <n v="200.73"/>
    <n v="479"/>
    <n v="28"/>
    <s v="2026-07"/>
  </r>
  <r>
    <s v="MS100048"/>
    <d v="2026-08-06T00:00:00"/>
    <x v="5"/>
    <s v="Women's Top"/>
    <x v="3"/>
    <x v="5"/>
    <s v="Maharashtra"/>
    <n v="2"/>
    <n v="399"/>
    <n v="20"/>
    <n v="319"/>
    <n v="638"/>
    <x v="0"/>
    <x v="1"/>
    <n v="65"/>
    <s v="No"/>
    <n v="45.11"/>
    <n v="300.17"/>
    <n v="227.72"/>
    <n v="319"/>
    <n v="32"/>
    <s v="2026-08"/>
  </r>
  <r>
    <s v="MS100049"/>
    <d v="2026-02-13T00:00:00"/>
    <x v="8"/>
    <s v="Handbag"/>
    <x v="6"/>
    <x v="3"/>
    <s v="West Bengal"/>
    <n v="1"/>
    <n v="549"/>
    <n v="25"/>
    <n v="412"/>
    <n v="412"/>
    <x v="0"/>
    <x v="0"/>
    <n v="45"/>
    <s v="No"/>
    <n v="26.33"/>
    <n v="205.71"/>
    <n v="134.96"/>
    <n v="412"/>
    <n v="7"/>
    <s v="2026-02"/>
  </r>
  <r>
    <s v="MS100050"/>
    <d v="2026-06-11T00:00:00"/>
    <x v="6"/>
    <s v="Handbag"/>
    <x v="6"/>
    <x v="7"/>
    <s v="Delhi"/>
    <n v="1"/>
    <n v="549"/>
    <n v="20"/>
    <n v="439"/>
    <n v="439"/>
    <x v="0"/>
    <x v="1"/>
    <n v="45"/>
    <s v="No"/>
    <n v="28.65"/>
    <n v="216.56"/>
    <n v="148.79"/>
    <n v="439"/>
    <n v="24"/>
    <s v="2026-06"/>
  </r>
  <r>
    <s v="MS100051"/>
    <d v="2026-07-21T00:00:00"/>
    <x v="2"/>
    <s v="Men's T-Shirt"/>
    <x v="2"/>
    <x v="1"/>
    <s v="Karnataka"/>
    <n v="2"/>
    <n v="449"/>
    <n v="10"/>
    <n v="404"/>
    <n v="808"/>
    <x v="0"/>
    <x v="1"/>
    <n v="45"/>
    <s v="No"/>
    <n v="48.89"/>
    <n v="372.73"/>
    <n v="341.38"/>
    <n v="404"/>
    <n v="30"/>
    <s v="2026-07"/>
  </r>
  <r>
    <s v="MS100052"/>
    <d v="2026-08-03T00:00:00"/>
    <x v="5"/>
    <s v="Kitchen Storage Set"/>
    <x v="4"/>
    <x v="9"/>
    <s v="Gujarat"/>
    <n v="2"/>
    <n v="499"/>
    <n v="20"/>
    <n v="399"/>
    <n v="798"/>
    <x v="0"/>
    <x v="0"/>
    <n v="35"/>
    <s v="No"/>
    <n v="53.07"/>
    <n v="342.76"/>
    <n v="367.17"/>
    <n v="399"/>
    <n v="32"/>
    <s v="2026-08"/>
  </r>
  <r>
    <s v="MS100053"/>
    <d v="2026-09-09T00:00:00"/>
    <x v="7"/>
    <s v="Kitchen Storage Set"/>
    <x v="4"/>
    <x v="3"/>
    <s v="West Bengal"/>
    <n v="1"/>
    <n v="499"/>
    <n v="35"/>
    <n v="324"/>
    <n v="324"/>
    <x v="0"/>
    <x v="0"/>
    <n v="35"/>
    <s v="No"/>
    <n v="22.98"/>
    <n v="140.32"/>
    <n v="125.7"/>
    <n v="324"/>
    <n v="37"/>
    <s v="2026-09"/>
  </r>
  <r>
    <s v="MS100054"/>
    <d v="2026-07-09T00:00:00"/>
    <x v="2"/>
    <s v="Kids Dress"/>
    <x v="1"/>
    <x v="5"/>
    <s v="Maharashtra"/>
    <n v="1"/>
    <n v="599"/>
    <n v="10"/>
    <n v="539"/>
    <n v="539"/>
    <x v="0"/>
    <x v="1"/>
    <n v="45"/>
    <s v="No"/>
    <n v="35.99"/>
    <n v="234.24"/>
    <n v="223.77"/>
    <n v="539"/>
    <n v="28"/>
    <s v="2026-07"/>
  </r>
  <r>
    <s v="MS100055"/>
    <d v="2026-08-01T00:00:00"/>
    <x v="5"/>
    <s v="Men's T-Shirt"/>
    <x v="2"/>
    <x v="2"/>
    <s v="Maharashtra"/>
    <n v="1"/>
    <n v="449"/>
    <n v="20"/>
    <n v="359"/>
    <n v="359"/>
    <x v="0"/>
    <x v="1"/>
    <n v="55"/>
    <s v="No"/>
    <n v="24.93"/>
    <n v="174.61"/>
    <n v="104.46"/>
    <n v="359"/>
    <n v="31"/>
    <s v="2026-08"/>
  </r>
  <r>
    <s v="MS100056"/>
    <d v="2026-07-27T00:00:00"/>
    <x v="2"/>
    <s v="Women Kurti Set"/>
    <x v="3"/>
    <x v="6"/>
    <s v="Uttar Pradesh"/>
    <n v="2"/>
    <n v="699"/>
    <n v="25"/>
    <n v="524"/>
    <n v="1048"/>
    <x v="1"/>
    <x v="0"/>
    <n v="65"/>
    <s v="No"/>
    <n v="64.55"/>
    <n v="443.74"/>
    <n v="474.71"/>
    <n v="524"/>
    <n v="31"/>
    <s v="2026-07"/>
  </r>
  <r>
    <s v="MS100057"/>
    <d v="2026-08-25T00:00:00"/>
    <x v="5"/>
    <s v="Kitchen Storage Set"/>
    <x v="4"/>
    <x v="8"/>
    <s v="Telangana"/>
    <n v="2"/>
    <n v="499"/>
    <n v="5"/>
    <n v="474"/>
    <n v="948"/>
    <x v="0"/>
    <x v="1"/>
    <n v="45"/>
    <s v="No"/>
    <n v="44.75"/>
    <n v="406.56"/>
    <n v="451.69"/>
    <n v="474"/>
    <n v="35"/>
    <s v="2026-08"/>
  </r>
  <r>
    <s v="MS100058"/>
    <d v="2026-02-22T00:00:00"/>
    <x v="8"/>
    <s v="Handbag"/>
    <x v="6"/>
    <x v="5"/>
    <s v="Maharashtra"/>
    <n v="1"/>
    <n v="549"/>
    <n v="20"/>
    <n v="439"/>
    <n v="439"/>
    <x v="3"/>
    <x v="0"/>
    <n v="45"/>
    <s v="No"/>
    <n v="34.270000000000003"/>
    <n v="212.44"/>
    <n v="147.29"/>
    <n v="439"/>
    <n v="8"/>
    <s v="2026-02"/>
  </r>
  <r>
    <s v="MS100059"/>
    <d v="2026-08-05T00:00:00"/>
    <x v="5"/>
    <s v="Men's T-Shirt"/>
    <x v="2"/>
    <x v="0"/>
    <s v="Maharashtra"/>
    <n v="1"/>
    <n v="449"/>
    <n v="20"/>
    <n v="359"/>
    <n v="359"/>
    <x v="0"/>
    <x v="1"/>
    <n v="45"/>
    <s v="No"/>
    <n v="18.78"/>
    <n v="176.08"/>
    <n v="119.14"/>
    <n v="359"/>
    <n v="32"/>
    <s v="2026-08"/>
  </r>
  <r>
    <s v="MS100060"/>
    <d v="2026-09-09T00:00:00"/>
    <x v="7"/>
    <s v="Oxidised Jewellery Set"/>
    <x v="7"/>
    <x v="6"/>
    <s v="Uttar Pradesh"/>
    <n v="3"/>
    <n v="249"/>
    <n v="10"/>
    <n v="224"/>
    <n v="672"/>
    <x v="3"/>
    <x v="1"/>
    <n v="65"/>
    <s v="No"/>
    <n v="33.19"/>
    <n v="346.98"/>
    <n v="226.83"/>
    <n v="224"/>
    <n v="37"/>
    <s v="2026-09"/>
  </r>
  <r>
    <s v="MS100061"/>
    <d v="2026-07-07T00:00:00"/>
    <x v="2"/>
    <s v="Women Kurti Set"/>
    <x v="3"/>
    <x v="4"/>
    <s v="Rajasthan"/>
    <n v="3"/>
    <n v="699"/>
    <n v="20"/>
    <n v="559"/>
    <n v="1677"/>
    <x v="0"/>
    <x v="1"/>
    <n v="45"/>
    <s v="No"/>
    <n v="108.53"/>
    <n v="850.06"/>
    <n v="673.41"/>
    <n v="559"/>
    <n v="28"/>
    <s v="2026-07"/>
  </r>
  <r>
    <s v="MS100062"/>
    <d v="2026-02-10T00:00:00"/>
    <x v="8"/>
    <s v="Women's Slippers"/>
    <x v="5"/>
    <x v="6"/>
    <s v="Uttar Pradesh"/>
    <n v="2"/>
    <n v="299"/>
    <n v="35"/>
    <n v="194"/>
    <n v="388"/>
    <x v="0"/>
    <x v="0"/>
    <n v="55"/>
    <s v="No"/>
    <n v="25.75"/>
    <n v="178.24"/>
    <n v="129.01"/>
    <n v="194"/>
    <n v="7"/>
    <s v="2026-02"/>
  </r>
  <r>
    <s v="MS100063"/>
    <d v="2026-06-06T00:00:00"/>
    <x v="6"/>
    <s v="Makeup Organizer"/>
    <x v="0"/>
    <x v="0"/>
    <s v="Maharashtra"/>
    <n v="3"/>
    <n v="349"/>
    <n v="5"/>
    <n v="332"/>
    <n v="996"/>
    <x v="2"/>
    <x v="1"/>
    <n v="35"/>
    <s v="Yes"/>
    <n v="79.41"/>
    <n v="493.26"/>
    <n v="388.33"/>
    <n v="332"/>
    <n v="23"/>
    <s v="2026-06"/>
  </r>
  <r>
    <s v="MS100064"/>
    <d v="2026-01-15T00:00:00"/>
    <x v="3"/>
    <s v="Kitchen Storage Set"/>
    <x v="4"/>
    <x v="1"/>
    <s v="Karnataka"/>
    <n v="1"/>
    <n v="499"/>
    <n v="30"/>
    <n v="349"/>
    <n v="349"/>
    <x v="2"/>
    <x v="0"/>
    <n v="55"/>
    <s v="Yes"/>
    <n v="25.24"/>
    <n v="173.18"/>
    <n v="95.58"/>
    <n v="349"/>
    <n v="3"/>
    <s v="2026-01"/>
  </r>
  <r>
    <s v="MS100065"/>
    <d v="2026-03-06T00:00:00"/>
    <x v="1"/>
    <s v="Handbag"/>
    <x v="6"/>
    <x v="2"/>
    <s v="Maharashtra"/>
    <n v="1"/>
    <n v="549"/>
    <n v="20"/>
    <n v="439"/>
    <n v="439"/>
    <x v="0"/>
    <x v="1"/>
    <n v="55"/>
    <s v="No"/>
    <n v="28.63"/>
    <n v="211.15"/>
    <n v="144.22"/>
    <n v="439"/>
    <n v="10"/>
    <s v="2026-03"/>
  </r>
  <r>
    <s v="MS100066"/>
    <d v="2026-01-09T00:00:00"/>
    <x v="3"/>
    <s v="Handbag"/>
    <x v="6"/>
    <x v="3"/>
    <s v="West Bengal"/>
    <n v="1"/>
    <n v="549"/>
    <n v="20"/>
    <n v="439"/>
    <n v="439"/>
    <x v="0"/>
    <x v="0"/>
    <n v="45"/>
    <s v="No"/>
    <n v="18.850000000000001"/>
    <n v="210.87"/>
    <n v="164.28"/>
    <n v="439"/>
    <n v="2"/>
    <s v="2026-01"/>
  </r>
  <r>
    <s v="MS100067"/>
    <d v="2026-05-09T00:00:00"/>
    <x v="4"/>
    <s v="Makeup Organizer"/>
    <x v="0"/>
    <x v="0"/>
    <s v="Maharashtra"/>
    <n v="1"/>
    <n v="349"/>
    <n v="20"/>
    <n v="279"/>
    <n v="279"/>
    <x v="1"/>
    <x v="0"/>
    <n v="65"/>
    <s v="No"/>
    <n v="20.61"/>
    <n v="142.69"/>
    <n v="50.7"/>
    <n v="279"/>
    <n v="19"/>
    <s v="2026-05"/>
  </r>
  <r>
    <s v="MS100068"/>
    <d v="2026-05-16T00:00:00"/>
    <x v="4"/>
    <s v="Kitchen Storage Set"/>
    <x v="4"/>
    <x v="8"/>
    <s v="Telangana"/>
    <n v="1"/>
    <n v="499"/>
    <n v="25"/>
    <n v="374"/>
    <n v="374"/>
    <x v="0"/>
    <x v="0"/>
    <n v="55"/>
    <s v="No"/>
    <n v="20.86"/>
    <n v="177.63"/>
    <n v="120.51"/>
    <n v="374"/>
    <n v="20"/>
    <s v="2026-05"/>
  </r>
  <r>
    <s v="MS100069"/>
    <d v="2026-03-04T00:00:00"/>
    <x v="1"/>
    <s v="Women's Slippers"/>
    <x v="5"/>
    <x v="8"/>
    <s v="Telangana"/>
    <n v="1"/>
    <n v="299"/>
    <n v="5"/>
    <n v="284"/>
    <n v="284"/>
    <x v="3"/>
    <x v="1"/>
    <n v="65"/>
    <s v="No"/>
    <n v="22.2"/>
    <n v="137.87"/>
    <n v="58.93"/>
    <n v="284"/>
    <n v="10"/>
    <s v="2026-03"/>
  </r>
  <r>
    <s v="MS100070"/>
    <d v="2026-05-19T00:00:00"/>
    <x v="4"/>
    <s v="Bedsheet"/>
    <x v="4"/>
    <x v="8"/>
    <s v="Telangana"/>
    <n v="1"/>
    <n v="699"/>
    <n v="15"/>
    <n v="594"/>
    <n v="594"/>
    <x v="0"/>
    <x v="1"/>
    <n v="65"/>
    <s v="No"/>
    <n v="29.86"/>
    <n v="266.39999999999998"/>
    <n v="232.74"/>
    <n v="594"/>
    <n v="21"/>
    <s v="2026-05"/>
  </r>
  <r>
    <s v="MS100071"/>
    <d v="2026-03-22T00:00:00"/>
    <x v="1"/>
    <s v="Women's Slippers"/>
    <x v="5"/>
    <x v="7"/>
    <s v="Delhi"/>
    <n v="1"/>
    <n v="299"/>
    <n v="10"/>
    <n v="269"/>
    <n v="269"/>
    <x v="3"/>
    <x v="1"/>
    <n v="45"/>
    <s v="No"/>
    <n v="13.69"/>
    <n v="124.1"/>
    <n v="86.21"/>
    <n v="269"/>
    <n v="12"/>
    <s v="2026-03"/>
  </r>
  <r>
    <s v="MS100072"/>
    <d v="2026-06-12T00:00:00"/>
    <x v="6"/>
    <s v="Kids Dress"/>
    <x v="1"/>
    <x v="4"/>
    <s v="Rajasthan"/>
    <n v="1"/>
    <n v="599"/>
    <n v="15"/>
    <n v="509"/>
    <n v="509"/>
    <x v="0"/>
    <x v="1"/>
    <n v="55"/>
    <s v="No"/>
    <n v="26.37"/>
    <n v="254.16"/>
    <n v="173.47"/>
    <n v="509"/>
    <n v="24"/>
    <s v="2026-06"/>
  </r>
  <r>
    <s v="MS100073"/>
    <d v="2026-09-18T00:00:00"/>
    <x v="7"/>
    <s v="Men's T-Shirt"/>
    <x v="2"/>
    <x v="1"/>
    <s v="Karnataka"/>
    <n v="1"/>
    <n v="449"/>
    <n v="10"/>
    <n v="404"/>
    <n v="404"/>
    <x v="1"/>
    <x v="0"/>
    <n v="65"/>
    <s v="No"/>
    <n v="16.86"/>
    <n v="195.26"/>
    <n v="126.88"/>
    <n v="404"/>
    <n v="38"/>
    <s v="2026-09"/>
  </r>
  <r>
    <s v="MS100074"/>
    <d v="2026-08-19T00:00:00"/>
    <x v="5"/>
    <s v="Oxidised Jewellery Set"/>
    <x v="7"/>
    <x v="9"/>
    <s v="Gujarat"/>
    <n v="2"/>
    <n v="249"/>
    <n v="35"/>
    <n v="162"/>
    <n v="324"/>
    <x v="0"/>
    <x v="1"/>
    <n v="35"/>
    <s v="No"/>
    <n v="21.34"/>
    <n v="141.74"/>
    <n v="125.92"/>
    <n v="162"/>
    <n v="34"/>
    <s v="2026-08"/>
  </r>
  <r>
    <s v="MS100075"/>
    <d v="2026-02-10T00:00:00"/>
    <x v="8"/>
    <s v="Makeup Organizer"/>
    <x v="0"/>
    <x v="6"/>
    <s v="Uttar Pradesh"/>
    <n v="2"/>
    <n v="349"/>
    <n v="20"/>
    <n v="279"/>
    <n v="558"/>
    <x v="0"/>
    <x v="1"/>
    <n v="65"/>
    <s v="No"/>
    <n v="28.45"/>
    <n v="280.26"/>
    <n v="184.29"/>
    <n v="279"/>
    <n v="7"/>
    <s v="2026-02"/>
  </r>
  <r>
    <s v="MS100076"/>
    <d v="2026-01-28T00:00:00"/>
    <x v="3"/>
    <s v="Makeup Organizer"/>
    <x v="0"/>
    <x v="3"/>
    <s v="West Bengal"/>
    <n v="1"/>
    <n v="349"/>
    <n v="25"/>
    <n v="262"/>
    <n v="262"/>
    <x v="0"/>
    <x v="0"/>
    <n v="45"/>
    <s v="No"/>
    <n v="12.08"/>
    <n v="116.2"/>
    <n v="88.72"/>
    <n v="262"/>
    <n v="5"/>
    <s v="2026-01"/>
  </r>
  <r>
    <s v="MS100077"/>
    <d v="2026-05-15T00:00:00"/>
    <x v="4"/>
    <s v="Women Kurti Set"/>
    <x v="3"/>
    <x v="4"/>
    <s v="Rajasthan"/>
    <n v="1"/>
    <n v="699"/>
    <n v="10"/>
    <n v="629"/>
    <n v="629"/>
    <x v="0"/>
    <x v="1"/>
    <n v="55"/>
    <s v="No"/>
    <n v="40.43"/>
    <n v="298.57"/>
    <n v="235"/>
    <n v="629"/>
    <n v="20"/>
    <s v="2026-05"/>
  </r>
  <r>
    <s v="MS100078"/>
    <d v="2026-07-20T00:00:00"/>
    <x v="2"/>
    <s v="Kitchen Storage Set"/>
    <x v="4"/>
    <x v="3"/>
    <s v="West Bengal"/>
    <n v="3"/>
    <n v="499"/>
    <n v="10"/>
    <n v="449"/>
    <n v="1347"/>
    <x v="3"/>
    <x v="0"/>
    <n v="55"/>
    <s v="No"/>
    <n v="77.73"/>
    <n v="625.79"/>
    <n v="588.48"/>
    <n v="449"/>
    <n v="30"/>
    <s v="2026-07"/>
  </r>
  <r>
    <s v="MS100079"/>
    <d v="2026-02-02T00:00:00"/>
    <x v="8"/>
    <s v="Kids Dress"/>
    <x v="1"/>
    <x v="4"/>
    <s v="Rajasthan"/>
    <n v="1"/>
    <n v="599"/>
    <n v="30"/>
    <n v="419"/>
    <n v="419"/>
    <x v="0"/>
    <x v="1"/>
    <n v="45"/>
    <s v="No"/>
    <n v="26.45"/>
    <n v="187.47"/>
    <n v="160.08000000000001"/>
    <n v="419"/>
    <n v="6"/>
    <s v="2026-02"/>
  </r>
  <r>
    <s v="MS100080"/>
    <d v="2026-02-17T00:00:00"/>
    <x v="8"/>
    <s v="Men's T-Shirt"/>
    <x v="2"/>
    <x v="8"/>
    <s v="Telangana"/>
    <n v="2"/>
    <n v="449"/>
    <n v="15"/>
    <n v="382"/>
    <n v="764"/>
    <x v="0"/>
    <x v="1"/>
    <n v="55"/>
    <s v="No"/>
    <n v="41.06"/>
    <n v="368.03"/>
    <n v="299.91000000000003"/>
    <n v="382"/>
    <n v="8"/>
    <s v="2026-02"/>
  </r>
  <r>
    <s v="MS100081"/>
    <d v="2026-03-03T00:00:00"/>
    <x v="1"/>
    <s v="Women's Slippers"/>
    <x v="5"/>
    <x v="0"/>
    <s v="Maharashtra"/>
    <n v="1"/>
    <n v="299"/>
    <n v="10"/>
    <n v="269"/>
    <n v="269"/>
    <x v="3"/>
    <x v="1"/>
    <n v="65"/>
    <s v="No"/>
    <n v="20.23"/>
    <n v="130.49"/>
    <n v="53.28"/>
    <n v="269"/>
    <n v="10"/>
    <s v="2026-03"/>
  </r>
  <r>
    <s v="MS100082"/>
    <d v="2026-08-04T00:00:00"/>
    <x v="5"/>
    <s v="Makeup Organizer"/>
    <x v="0"/>
    <x v="7"/>
    <s v="Delhi"/>
    <n v="1"/>
    <n v="349"/>
    <n v="5"/>
    <n v="332"/>
    <n v="332"/>
    <x v="0"/>
    <x v="1"/>
    <n v="45"/>
    <s v="No"/>
    <n v="20.69"/>
    <n v="163.69999999999999"/>
    <n v="102.61"/>
    <n v="332"/>
    <n v="32"/>
    <s v="2026-08"/>
  </r>
  <r>
    <s v="MS100083"/>
    <d v="2026-04-09T00:00:00"/>
    <x v="0"/>
    <s v="Men's T-Shirt"/>
    <x v="2"/>
    <x v="9"/>
    <s v="Gujarat"/>
    <n v="1"/>
    <n v="449"/>
    <n v="40"/>
    <n v="269"/>
    <n v="269"/>
    <x v="0"/>
    <x v="1"/>
    <n v="55"/>
    <s v="No"/>
    <n v="18.88"/>
    <n v="117.57"/>
    <n v="77.55"/>
    <n v="269"/>
    <n v="15"/>
    <s v="2026-04"/>
  </r>
  <r>
    <s v="MS100084"/>
    <d v="2026-06-21T00:00:00"/>
    <x v="6"/>
    <s v="Kitchen Storage Set"/>
    <x v="4"/>
    <x v="4"/>
    <s v="Rajasthan"/>
    <n v="2"/>
    <n v="499"/>
    <n v="15"/>
    <n v="424"/>
    <n v="848"/>
    <x v="3"/>
    <x v="1"/>
    <n v="65"/>
    <s v="No"/>
    <n v="50.03"/>
    <n v="388.6"/>
    <n v="344.37"/>
    <n v="424"/>
    <n v="25"/>
    <s v="2026-06"/>
  </r>
  <r>
    <s v="MS100085"/>
    <d v="2026-08-02T00:00:00"/>
    <x v="5"/>
    <s v="Handbag"/>
    <x v="6"/>
    <x v="6"/>
    <s v="Uttar Pradesh"/>
    <n v="1"/>
    <n v="549"/>
    <n v="30"/>
    <n v="384"/>
    <n v="384"/>
    <x v="3"/>
    <x v="0"/>
    <n v="35"/>
    <s v="No"/>
    <n v="28.29"/>
    <n v="181.28"/>
    <n v="139.43"/>
    <n v="384"/>
    <n v="31"/>
    <s v="2026-08"/>
  </r>
  <r>
    <s v="MS100086"/>
    <d v="2026-02-04T00:00:00"/>
    <x v="8"/>
    <s v="Printed Saree"/>
    <x v="3"/>
    <x v="6"/>
    <s v="Uttar Pradesh"/>
    <n v="2"/>
    <n v="899"/>
    <n v="10"/>
    <n v="809"/>
    <n v="1618"/>
    <x v="1"/>
    <x v="1"/>
    <n v="45"/>
    <s v="No"/>
    <n v="75.03"/>
    <n v="689.77"/>
    <n v="808.2"/>
    <n v="809"/>
    <n v="6"/>
    <s v="2026-02"/>
  </r>
  <r>
    <s v="MS100087"/>
    <d v="2026-08-15T00:00:00"/>
    <x v="5"/>
    <s v="Oxidised Jewellery Set"/>
    <x v="7"/>
    <x v="0"/>
    <s v="Maharashtra"/>
    <n v="1"/>
    <n v="249"/>
    <n v="20"/>
    <n v="199"/>
    <n v="199"/>
    <x v="0"/>
    <x v="1"/>
    <n v="35"/>
    <s v="No"/>
    <n v="12.37"/>
    <n v="89.66"/>
    <n v="61.97"/>
    <n v="199"/>
    <n v="33"/>
    <s v="2026-08"/>
  </r>
  <r>
    <s v="MS100088"/>
    <d v="2026-04-11T00:00:00"/>
    <x v="0"/>
    <s v="Oxidised Jewellery Set"/>
    <x v="7"/>
    <x v="5"/>
    <s v="Maharashtra"/>
    <n v="1"/>
    <n v="249"/>
    <n v="20"/>
    <n v="199"/>
    <n v="199"/>
    <x v="4"/>
    <x v="1"/>
    <n v="55"/>
    <s v="No"/>
    <n v="12.53"/>
    <n v="94.85"/>
    <n v="36.619999999999997"/>
    <n v="199"/>
    <n v="15"/>
    <s v="2026-04"/>
  </r>
  <r>
    <s v="MS100089"/>
    <d v="2026-05-11T00:00:00"/>
    <x v="4"/>
    <s v="Women's Slippers"/>
    <x v="5"/>
    <x v="2"/>
    <s v="Maharashtra"/>
    <n v="1"/>
    <n v="299"/>
    <n v="30"/>
    <n v="209"/>
    <n v="209"/>
    <x v="0"/>
    <x v="1"/>
    <n v="65"/>
    <s v="No"/>
    <n v="12.81"/>
    <n v="102.86"/>
    <n v="28.33"/>
    <n v="209"/>
    <n v="20"/>
    <s v="2026-05"/>
  </r>
  <r>
    <s v="MS100090"/>
    <d v="2026-09-14T00:00:00"/>
    <x v="7"/>
    <s v="Oxidised Jewellery Set"/>
    <x v="7"/>
    <x v="1"/>
    <s v="Karnataka"/>
    <n v="2"/>
    <n v="249"/>
    <n v="15"/>
    <n v="212"/>
    <n v="424"/>
    <x v="0"/>
    <x v="0"/>
    <n v="55"/>
    <s v="No"/>
    <n v="28.75"/>
    <n v="192.75"/>
    <n v="147.5"/>
    <n v="212"/>
    <n v="38"/>
    <s v="2026-09"/>
  </r>
  <r>
    <s v="MS100091"/>
    <d v="2026-01-05T00:00:00"/>
    <x v="3"/>
    <s v="Makeup Organizer"/>
    <x v="0"/>
    <x v="3"/>
    <s v="West Bengal"/>
    <n v="1"/>
    <n v="349"/>
    <n v="20"/>
    <n v="279"/>
    <n v="279"/>
    <x v="0"/>
    <x v="0"/>
    <n v="55"/>
    <s v="No"/>
    <n v="16.600000000000001"/>
    <n v="134.09"/>
    <n v="73.31"/>
    <n v="279"/>
    <n v="2"/>
    <s v="2026-01"/>
  </r>
  <r>
    <s v="MS100092"/>
    <d v="2026-08-06T00:00:00"/>
    <x v="5"/>
    <s v="Bedsheet"/>
    <x v="4"/>
    <x v="7"/>
    <s v="Delhi"/>
    <n v="3"/>
    <n v="699"/>
    <n v="30"/>
    <n v="489"/>
    <n v="1467"/>
    <x v="3"/>
    <x v="1"/>
    <n v="45"/>
    <s v="No"/>
    <n v="62.68"/>
    <n v="619.92999999999995"/>
    <n v="739.39"/>
    <n v="489"/>
    <n v="32"/>
    <s v="2026-08"/>
  </r>
  <r>
    <s v="MS100093"/>
    <d v="2026-09-12T00:00:00"/>
    <x v="7"/>
    <s v="Bedsheet"/>
    <x v="4"/>
    <x v="1"/>
    <s v="Karnataka"/>
    <n v="1"/>
    <n v="699"/>
    <n v="10"/>
    <n v="629"/>
    <n v="629"/>
    <x v="3"/>
    <x v="1"/>
    <n v="35"/>
    <s v="No"/>
    <n v="25.61"/>
    <n v="302.08"/>
    <n v="266.31"/>
    <n v="629"/>
    <n v="37"/>
    <s v="2026-09"/>
  </r>
  <r>
    <s v="MS100094"/>
    <d v="2026-07-26T00:00:00"/>
    <x v="2"/>
    <s v="Handbag"/>
    <x v="6"/>
    <x v="8"/>
    <s v="Telangana"/>
    <n v="2"/>
    <n v="549"/>
    <n v="20"/>
    <n v="439"/>
    <n v="878"/>
    <x v="0"/>
    <x v="1"/>
    <n v="55"/>
    <s v="No"/>
    <n v="61.61"/>
    <n v="423.15"/>
    <n v="338.24"/>
    <n v="439"/>
    <n v="30"/>
    <s v="2026-07"/>
  </r>
  <r>
    <s v="MS100095"/>
    <d v="2026-01-15T00:00:00"/>
    <x v="3"/>
    <s v="Oxidised Jewellery Set"/>
    <x v="7"/>
    <x v="7"/>
    <s v="Delhi"/>
    <n v="1"/>
    <n v="249"/>
    <n v="10"/>
    <n v="224"/>
    <n v="224"/>
    <x v="3"/>
    <x v="1"/>
    <n v="45"/>
    <s v="No"/>
    <n v="9.8699999999999992"/>
    <n v="109.58"/>
    <n v="59.55"/>
    <n v="224"/>
    <n v="3"/>
    <s v="2026-01"/>
  </r>
  <r>
    <s v="MS100096"/>
    <d v="2026-02-11T00:00:00"/>
    <x v="8"/>
    <s v="Bedsheet"/>
    <x v="4"/>
    <x v="1"/>
    <s v="Karnataka"/>
    <n v="3"/>
    <n v="699"/>
    <n v="30"/>
    <n v="489"/>
    <n v="1467"/>
    <x v="0"/>
    <x v="0"/>
    <n v="65"/>
    <s v="No"/>
    <n v="68.88"/>
    <n v="712.33"/>
    <n v="620.79"/>
    <n v="489"/>
    <n v="7"/>
    <s v="2026-02"/>
  </r>
  <r>
    <s v="MS100097"/>
    <d v="2026-06-28T00:00:00"/>
    <x v="6"/>
    <s v="Printed Saree"/>
    <x v="3"/>
    <x v="8"/>
    <s v="Telangana"/>
    <n v="2"/>
    <n v="899"/>
    <n v="20"/>
    <n v="719"/>
    <n v="1438"/>
    <x v="0"/>
    <x v="1"/>
    <n v="55"/>
    <s v="No"/>
    <n v="87.75"/>
    <n v="673.22"/>
    <n v="622.03"/>
    <n v="719"/>
    <n v="26"/>
    <s v="2026-06"/>
  </r>
  <r>
    <s v="MS100098"/>
    <d v="2026-03-04T00:00:00"/>
    <x v="1"/>
    <s v="Leggings"/>
    <x v="3"/>
    <x v="8"/>
    <s v="Telangana"/>
    <n v="1"/>
    <n v="299"/>
    <n v="20"/>
    <n v="239"/>
    <n v="239"/>
    <x v="0"/>
    <x v="0"/>
    <n v="45"/>
    <s v="No"/>
    <n v="17.12"/>
    <n v="114.29"/>
    <n v="62.59"/>
    <n v="239"/>
    <n v="10"/>
    <s v="2026-03"/>
  </r>
  <r>
    <s v="MS100099"/>
    <d v="2026-08-19T00:00:00"/>
    <x v="5"/>
    <s v="Men's T-Shirt"/>
    <x v="2"/>
    <x v="4"/>
    <s v="Rajasthan"/>
    <n v="1"/>
    <n v="449"/>
    <n v="15"/>
    <n v="382"/>
    <n v="382"/>
    <x v="1"/>
    <x v="0"/>
    <n v="35"/>
    <s v="No"/>
    <n v="30.19"/>
    <n v="191.06"/>
    <n v="125.75"/>
    <n v="382"/>
    <n v="34"/>
    <s v="2026-08"/>
  </r>
  <r>
    <s v="MS100100"/>
    <d v="2026-08-29T00:00:00"/>
    <x v="5"/>
    <s v="Bedsheet"/>
    <x v="4"/>
    <x v="2"/>
    <s v="Maharashtra"/>
    <n v="1"/>
    <n v="699"/>
    <n v="20"/>
    <n v="559"/>
    <n v="559"/>
    <x v="0"/>
    <x v="1"/>
    <n v="65"/>
    <s v="No"/>
    <n v="28.31"/>
    <n v="243.12"/>
    <n v="222.57"/>
    <n v="559"/>
    <n v="35"/>
    <s v="2026-08"/>
  </r>
  <r>
    <s v="MS100101"/>
    <d v="2026-02-21T00:00:00"/>
    <x v="8"/>
    <s v="Printed Saree"/>
    <x v="3"/>
    <x v="1"/>
    <s v="Karnataka"/>
    <n v="1"/>
    <n v="899"/>
    <n v="25"/>
    <n v="674"/>
    <n v="674"/>
    <x v="1"/>
    <x v="0"/>
    <n v="35"/>
    <s v="No"/>
    <n v="37.6"/>
    <n v="314.05"/>
    <n v="287.35000000000002"/>
    <n v="674"/>
    <n v="8"/>
    <s v="2026-02"/>
  </r>
  <r>
    <s v="MS100102"/>
    <d v="2026-04-06T00:00:00"/>
    <x v="0"/>
    <s v="Women Kurti Set"/>
    <x v="3"/>
    <x v="3"/>
    <s v="West Bengal"/>
    <n v="1"/>
    <n v="699"/>
    <n v="25"/>
    <n v="524"/>
    <n v="524"/>
    <x v="2"/>
    <x v="0"/>
    <n v="45"/>
    <s v="Yes"/>
    <n v="30.13"/>
    <n v="233.42"/>
    <n v="215.45"/>
    <n v="524"/>
    <n v="15"/>
    <s v="2026-04"/>
  </r>
  <r>
    <s v="MS100103"/>
    <d v="2026-08-10T00:00:00"/>
    <x v="5"/>
    <s v="Makeup Organizer"/>
    <x v="0"/>
    <x v="6"/>
    <s v="Uttar Pradesh"/>
    <n v="1"/>
    <n v="349"/>
    <n v="25"/>
    <n v="262"/>
    <n v="262"/>
    <x v="3"/>
    <x v="0"/>
    <n v="55"/>
    <s v="No"/>
    <n v="15.2"/>
    <n v="115.99"/>
    <n v="75.81"/>
    <n v="262"/>
    <n v="33"/>
    <s v="2026-08"/>
  </r>
  <r>
    <s v="MS100104"/>
    <d v="2026-08-19T00:00:00"/>
    <x v="5"/>
    <s v="Oxidised Jewellery Set"/>
    <x v="7"/>
    <x v="6"/>
    <s v="Uttar Pradesh"/>
    <n v="2"/>
    <n v="249"/>
    <n v="10"/>
    <n v="224"/>
    <n v="448"/>
    <x v="2"/>
    <x v="1"/>
    <n v="55"/>
    <s v="Yes"/>
    <n v="30.11"/>
    <n v="190.03"/>
    <n v="172.86"/>
    <n v="224"/>
    <n v="34"/>
    <s v="2026-08"/>
  </r>
  <r>
    <s v="MS100105"/>
    <d v="2026-08-25T00:00:00"/>
    <x v="5"/>
    <s v="Kids Dress"/>
    <x v="1"/>
    <x v="2"/>
    <s v="Maharashtra"/>
    <n v="1"/>
    <n v="599"/>
    <n v="10"/>
    <n v="539"/>
    <n v="539"/>
    <x v="0"/>
    <x v="1"/>
    <n v="35"/>
    <s v="No"/>
    <n v="32.520000000000003"/>
    <n v="247.27"/>
    <n v="224.21"/>
    <n v="539"/>
    <n v="35"/>
    <s v="2026-08"/>
  </r>
  <r>
    <s v="MS100106"/>
    <d v="2026-05-23T00:00:00"/>
    <x v="4"/>
    <s v="Bedsheet"/>
    <x v="4"/>
    <x v="1"/>
    <s v="Karnataka"/>
    <n v="2"/>
    <n v="699"/>
    <n v="25"/>
    <n v="524"/>
    <n v="1048"/>
    <x v="0"/>
    <x v="0"/>
    <n v="55"/>
    <s v="No"/>
    <n v="59.2"/>
    <n v="497.76"/>
    <n v="436.04"/>
    <n v="524"/>
    <n v="21"/>
    <s v="2026-05"/>
  </r>
  <r>
    <s v="MS100107"/>
    <d v="2026-06-20T00:00:00"/>
    <x v="6"/>
    <s v="Men's T-Shirt"/>
    <x v="2"/>
    <x v="5"/>
    <s v="Maharashtra"/>
    <n v="1"/>
    <n v="449"/>
    <n v="10"/>
    <n v="404"/>
    <n v="404"/>
    <x v="2"/>
    <x v="0"/>
    <n v="55"/>
    <s v="Yes"/>
    <n v="28.8"/>
    <n v="178.88"/>
    <n v="141.32"/>
    <n v="404"/>
    <n v="25"/>
    <s v="2026-06"/>
  </r>
  <r>
    <s v="MS100108"/>
    <d v="2026-01-29T00:00:00"/>
    <x v="3"/>
    <s v="Printed Saree"/>
    <x v="3"/>
    <x v="7"/>
    <s v="Delhi"/>
    <n v="1"/>
    <n v="899"/>
    <n v="25"/>
    <n v="674"/>
    <n v="674"/>
    <x v="3"/>
    <x v="0"/>
    <n v="35"/>
    <s v="No"/>
    <n v="52.84"/>
    <n v="315.31"/>
    <n v="270.85000000000002"/>
    <n v="674"/>
    <n v="5"/>
    <s v="2026-01"/>
  </r>
  <r>
    <s v="MS100109"/>
    <d v="2026-02-05T00:00:00"/>
    <x v="8"/>
    <s v="Makeup Organizer"/>
    <x v="0"/>
    <x v="8"/>
    <s v="Telangana"/>
    <n v="1"/>
    <n v="349"/>
    <n v="20"/>
    <n v="279"/>
    <n v="279"/>
    <x v="0"/>
    <x v="0"/>
    <n v="35"/>
    <s v="No"/>
    <n v="17.66"/>
    <n v="138.05000000000001"/>
    <n v="88.29"/>
    <n v="279"/>
    <n v="6"/>
    <s v="2026-02"/>
  </r>
  <r>
    <s v="MS100110"/>
    <d v="2026-01-13T00:00:00"/>
    <x v="3"/>
    <s v="Women's Slippers"/>
    <x v="5"/>
    <x v="0"/>
    <s v="Maharashtra"/>
    <n v="1"/>
    <n v="299"/>
    <n v="15"/>
    <n v="254"/>
    <n v="254"/>
    <x v="2"/>
    <x v="1"/>
    <n v="55"/>
    <s v="Yes"/>
    <n v="11.13"/>
    <n v="116.23"/>
    <n v="71.64"/>
    <n v="254"/>
    <n v="3"/>
    <s v="2026-01"/>
  </r>
  <r>
    <s v="MS100111"/>
    <d v="2026-06-09T00:00:00"/>
    <x v="6"/>
    <s v="Makeup Organizer"/>
    <x v="0"/>
    <x v="3"/>
    <s v="West Bengal"/>
    <n v="1"/>
    <n v="349"/>
    <n v="15"/>
    <n v="297"/>
    <n v="297"/>
    <x v="2"/>
    <x v="0"/>
    <n v="65"/>
    <s v="Yes"/>
    <n v="14.23"/>
    <n v="151.08000000000001"/>
    <n v="66.69"/>
    <n v="297"/>
    <n v="24"/>
    <s v="2026-06"/>
  </r>
  <r>
    <s v="MS100112"/>
    <d v="2026-07-06T00:00:00"/>
    <x v="2"/>
    <s v="Handbag"/>
    <x v="6"/>
    <x v="5"/>
    <s v="Maharashtra"/>
    <n v="2"/>
    <n v="549"/>
    <n v="35"/>
    <n v="357"/>
    <n v="714"/>
    <x v="1"/>
    <x v="1"/>
    <n v="35"/>
    <s v="No"/>
    <n v="44.1"/>
    <n v="345.3"/>
    <n v="289.60000000000002"/>
    <n v="357"/>
    <n v="28"/>
    <s v="2026-07"/>
  </r>
  <r>
    <s v="MS100113"/>
    <d v="2026-08-31T00:00:00"/>
    <x v="5"/>
    <s v="Men's T-Shirt"/>
    <x v="2"/>
    <x v="6"/>
    <s v="Uttar Pradesh"/>
    <n v="1"/>
    <n v="449"/>
    <n v="15"/>
    <n v="382"/>
    <n v="382"/>
    <x v="0"/>
    <x v="0"/>
    <n v="65"/>
    <s v="No"/>
    <n v="23.61"/>
    <n v="198.05"/>
    <n v="95.34"/>
    <n v="382"/>
    <n v="36"/>
    <s v="2026-08"/>
  </r>
  <r>
    <s v="MS100114"/>
    <d v="2026-03-27T00:00:00"/>
    <x v="1"/>
    <s v="Printed Saree"/>
    <x v="3"/>
    <x v="0"/>
    <s v="Maharashtra"/>
    <n v="1"/>
    <n v="899"/>
    <n v="25"/>
    <n v="674"/>
    <n v="674"/>
    <x v="1"/>
    <x v="1"/>
    <n v="55"/>
    <s v="No"/>
    <n v="40.130000000000003"/>
    <n v="293.24"/>
    <n v="285.63"/>
    <n v="674"/>
    <n v="13"/>
    <s v="2026-03"/>
  </r>
  <r>
    <s v="MS100115"/>
    <d v="2026-03-07T00:00:00"/>
    <x v="1"/>
    <s v="Leggings"/>
    <x v="3"/>
    <x v="8"/>
    <s v="Telangana"/>
    <n v="1"/>
    <n v="299"/>
    <n v="20"/>
    <n v="239"/>
    <n v="239"/>
    <x v="0"/>
    <x v="1"/>
    <n v="55"/>
    <s v="No"/>
    <n v="11.01"/>
    <n v="102.62"/>
    <n v="70.37"/>
    <n v="239"/>
    <n v="10"/>
    <s v="2026-03"/>
  </r>
  <r>
    <s v="MS100116"/>
    <d v="2026-06-19T00:00:00"/>
    <x v="6"/>
    <s v="Kitchen Storage Set"/>
    <x v="4"/>
    <x v="8"/>
    <s v="Telangana"/>
    <n v="1"/>
    <n v="499"/>
    <n v="20"/>
    <n v="399"/>
    <n v="399"/>
    <x v="0"/>
    <x v="1"/>
    <n v="35"/>
    <s v="No"/>
    <n v="27.8"/>
    <n v="202.75"/>
    <n v="133.44999999999999"/>
    <n v="399"/>
    <n v="25"/>
    <s v="2026-06"/>
  </r>
  <r>
    <s v="MS100117"/>
    <d v="2026-02-14T00:00:00"/>
    <x v="8"/>
    <s v="Handbag"/>
    <x v="6"/>
    <x v="5"/>
    <s v="Maharashtra"/>
    <n v="1"/>
    <n v="549"/>
    <n v="15"/>
    <n v="467"/>
    <n v="467"/>
    <x v="3"/>
    <x v="1"/>
    <n v="45"/>
    <s v="No"/>
    <n v="30.19"/>
    <n v="204.92"/>
    <n v="186.89"/>
    <n v="467"/>
    <n v="7"/>
    <s v="2026-02"/>
  </r>
  <r>
    <s v="MS100118"/>
    <d v="2026-03-03T00:00:00"/>
    <x v="1"/>
    <s v="Kitchen Storage Set"/>
    <x v="4"/>
    <x v="1"/>
    <s v="Karnataka"/>
    <n v="1"/>
    <n v="499"/>
    <n v="30"/>
    <n v="349"/>
    <n v="349"/>
    <x v="1"/>
    <x v="0"/>
    <n v="65"/>
    <s v="No"/>
    <n v="24.37"/>
    <n v="153.65"/>
    <n v="105.98"/>
    <n v="349"/>
    <n v="10"/>
    <s v="2026-03"/>
  </r>
  <r>
    <s v="MS100119"/>
    <d v="2026-05-14T00:00:00"/>
    <x v="4"/>
    <s v="Kitchen Storage Set"/>
    <x v="4"/>
    <x v="1"/>
    <s v="Karnataka"/>
    <n v="1"/>
    <n v="499"/>
    <n v="10"/>
    <n v="449"/>
    <n v="449"/>
    <x v="0"/>
    <x v="1"/>
    <n v="65"/>
    <s v="No"/>
    <n v="26.98"/>
    <n v="194.18"/>
    <n v="162.84"/>
    <n v="449"/>
    <n v="20"/>
    <s v="2026-05"/>
  </r>
  <r>
    <s v="MS100120"/>
    <d v="2026-01-28T00:00:00"/>
    <x v="3"/>
    <s v="Bedsheet"/>
    <x v="4"/>
    <x v="1"/>
    <s v="Karnataka"/>
    <n v="2"/>
    <n v="699"/>
    <n v="15"/>
    <n v="594"/>
    <n v="1188"/>
    <x v="0"/>
    <x v="1"/>
    <n v="45"/>
    <s v="No"/>
    <n v="67.13"/>
    <n v="581.6"/>
    <n v="494.27"/>
    <n v="594"/>
    <n v="5"/>
    <s v="2026-01"/>
  </r>
  <r>
    <s v="MS100121"/>
    <d v="2026-04-18T00:00:00"/>
    <x v="0"/>
    <s v="Leggings"/>
    <x v="3"/>
    <x v="1"/>
    <s v="Karnataka"/>
    <n v="1"/>
    <n v="299"/>
    <n v="20"/>
    <n v="239"/>
    <n v="239"/>
    <x v="0"/>
    <x v="1"/>
    <n v="55"/>
    <s v="No"/>
    <n v="14.16"/>
    <n v="115.73"/>
    <n v="54.11"/>
    <n v="239"/>
    <n v="16"/>
    <s v="2026-04"/>
  </r>
  <r>
    <s v="MS100122"/>
    <d v="2026-02-13T00:00:00"/>
    <x v="8"/>
    <s v="Makeup Organizer"/>
    <x v="0"/>
    <x v="4"/>
    <s v="Rajasthan"/>
    <n v="1"/>
    <n v="349"/>
    <n v="5"/>
    <n v="332"/>
    <n v="332"/>
    <x v="0"/>
    <x v="0"/>
    <n v="45"/>
    <s v="No"/>
    <n v="23.97"/>
    <n v="148.4"/>
    <n v="114.63"/>
    <n v="332"/>
    <n v="7"/>
    <s v="2026-02"/>
  </r>
  <r>
    <s v="MS100123"/>
    <d v="2026-05-08T00:00:00"/>
    <x v="4"/>
    <s v="Women Kurti Set"/>
    <x v="3"/>
    <x v="7"/>
    <s v="Delhi"/>
    <n v="1"/>
    <n v="699"/>
    <n v="15"/>
    <n v="594"/>
    <n v="594"/>
    <x v="3"/>
    <x v="1"/>
    <n v="45"/>
    <s v="No"/>
    <n v="28.75"/>
    <n v="298.49"/>
    <n v="221.76"/>
    <n v="594"/>
    <n v="19"/>
    <s v="2026-05"/>
  </r>
  <r>
    <s v="MS100124"/>
    <d v="2026-08-19T00:00:00"/>
    <x v="5"/>
    <s v="Bedsheet"/>
    <x v="4"/>
    <x v="4"/>
    <s v="Rajasthan"/>
    <n v="1"/>
    <n v="699"/>
    <n v="15"/>
    <n v="594"/>
    <n v="594"/>
    <x v="0"/>
    <x v="0"/>
    <n v="35"/>
    <s v="No"/>
    <n v="37.97"/>
    <n v="293.18"/>
    <n v="227.85"/>
    <n v="594"/>
    <n v="34"/>
    <s v="2026-08"/>
  </r>
  <r>
    <s v="MS100125"/>
    <d v="2026-07-09T00:00:00"/>
    <x v="2"/>
    <s v="Women's Slippers"/>
    <x v="5"/>
    <x v="9"/>
    <s v="Gujarat"/>
    <n v="1"/>
    <n v="299"/>
    <n v="20"/>
    <n v="239"/>
    <n v="239"/>
    <x v="0"/>
    <x v="0"/>
    <n v="65"/>
    <s v="No"/>
    <n v="11.26"/>
    <n v="116.77"/>
    <n v="45.97"/>
    <n v="239"/>
    <n v="28"/>
    <s v="2026-07"/>
  </r>
  <r>
    <s v="MS100126"/>
    <d v="2026-08-13T00:00:00"/>
    <x v="5"/>
    <s v="Women's Slippers"/>
    <x v="5"/>
    <x v="4"/>
    <s v="Rajasthan"/>
    <n v="1"/>
    <n v="299"/>
    <n v="25"/>
    <n v="224"/>
    <n v="224"/>
    <x v="0"/>
    <x v="0"/>
    <n v="35"/>
    <s v="No"/>
    <n v="17.739999999999998"/>
    <n v="97.78"/>
    <n v="73.48"/>
    <n v="224"/>
    <n v="33"/>
    <s v="2026-08"/>
  </r>
  <r>
    <s v="MS100127"/>
    <d v="2026-05-01T00:00:00"/>
    <x v="4"/>
    <s v="Leggings"/>
    <x v="3"/>
    <x v="9"/>
    <s v="Gujarat"/>
    <n v="1"/>
    <n v="299"/>
    <n v="15"/>
    <n v="254"/>
    <n v="254"/>
    <x v="2"/>
    <x v="1"/>
    <n v="45"/>
    <s v="Yes"/>
    <n v="18.82"/>
    <n v="112.41"/>
    <n v="77.77"/>
    <n v="254"/>
    <n v="18"/>
    <s v="2026-05"/>
  </r>
  <r>
    <s v="MS100128"/>
    <d v="2026-04-26T00:00:00"/>
    <x v="0"/>
    <s v="Women's Top"/>
    <x v="3"/>
    <x v="1"/>
    <s v="Karnataka"/>
    <n v="2"/>
    <n v="399"/>
    <n v="20"/>
    <n v="319"/>
    <n v="638"/>
    <x v="0"/>
    <x v="0"/>
    <n v="45"/>
    <s v="No"/>
    <n v="41.63"/>
    <n v="271.14"/>
    <n v="280.23"/>
    <n v="319"/>
    <n v="17"/>
    <s v="2026-04"/>
  </r>
  <r>
    <s v="MS100129"/>
    <d v="2026-08-21T00:00:00"/>
    <x v="5"/>
    <s v="Handbag"/>
    <x v="6"/>
    <x v="2"/>
    <s v="Maharashtra"/>
    <n v="2"/>
    <n v="549"/>
    <n v="5"/>
    <n v="522"/>
    <n v="1044"/>
    <x v="0"/>
    <x v="0"/>
    <n v="45"/>
    <s v="No"/>
    <n v="67.239999999999995"/>
    <n v="452.61"/>
    <n v="479.15"/>
    <n v="522"/>
    <n v="34"/>
    <s v="2026-08"/>
  </r>
  <r>
    <s v="MS100130"/>
    <d v="2026-09-16T00:00:00"/>
    <x v="7"/>
    <s v="Men's T-Shirt"/>
    <x v="2"/>
    <x v="3"/>
    <s v="West Bengal"/>
    <n v="3"/>
    <n v="449"/>
    <n v="10"/>
    <n v="404"/>
    <n v="1212"/>
    <x v="0"/>
    <x v="1"/>
    <n v="45"/>
    <s v="No"/>
    <n v="50.24"/>
    <n v="542.46"/>
    <n v="574.29999999999995"/>
    <n v="404"/>
    <n v="38"/>
    <s v="2026-09"/>
  </r>
  <r>
    <s v="MS100131"/>
    <d v="2026-07-17T00:00:00"/>
    <x v="2"/>
    <s v="Men's T-Shirt"/>
    <x v="2"/>
    <x v="5"/>
    <s v="Maharashtra"/>
    <n v="1"/>
    <n v="449"/>
    <n v="30"/>
    <n v="314"/>
    <n v="314"/>
    <x v="0"/>
    <x v="0"/>
    <n v="35"/>
    <s v="No"/>
    <n v="15.93"/>
    <n v="136.79"/>
    <n v="126.28"/>
    <n v="314"/>
    <n v="29"/>
    <s v="2026-07"/>
  </r>
  <r>
    <s v="MS100132"/>
    <d v="2026-05-17T00:00:00"/>
    <x v="4"/>
    <s v="Kids Dress"/>
    <x v="1"/>
    <x v="1"/>
    <s v="Karnataka"/>
    <n v="1"/>
    <n v="599"/>
    <n v="25"/>
    <n v="449"/>
    <n v="449"/>
    <x v="0"/>
    <x v="0"/>
    <n v="45"/>
    <s v="No"/>
    <n v="25.34"/>
    <n v="204.18"/>
    <n v="174.48"/>
    <n v="449"/>
    <n v="20"/>
    <s v="2026-05"/>
  </r>
  <r>
    <s v="MS100133"/>
    <d v="2026-06-14T00:00:00"/>
    <x v="6"/>
    <s v="Printed Saree"/>
    <x v="3"/>
    <x v="6"/>
    <s v="Uttar Pradesh"/>
    <n v="1"/>
    <n v="899"/>
    <n v="10"/>
    <n v="809"/>
    <n v="809"/>
    <x v="4"/>
    <x v="1"/>
    <n v="35"/>
    <s v="No"/>
    <n v="34.049999999999997"/>
    <n v="373.66"/>
    <n v="366.29"/>
    <n v="809"/>
    <n v="24"/>
    <s v="2026-06"/>
  </r>
  <r>
    <s v="MS100134"/>
    <d v="2026-08-13T00:00:00"/>
    <x v="5"/>
    <s v="Kitchen Storage Set"/>
    <x v="4"/>
    <x v="8"/>
    <s v="Telangana"/>
    <n v="3"/>
    <n v="499"/>
    <n v="15"/>
    <n v="424"/>
    <n v="1272"/>
    <x v="3"/>
    <x v="1"/>
    <n v="45"/>
    <s v="No"/>
    <n v="60.61"/>
    <n v="577.27"/>
    <n v="589.12"/>
    <n v="424"/>
    <n v="33"/>
    <s v="2026-08"/>
  </r>
  <r>
    <s v="MS100135"/>
    <d v="2026-08-22T00:00:00"/>
    <x v="5"/>
    <s v="Women's Top"/>
    <x v="3"/>
    <x v="3"/>
    <s v="West Bengal"/>
    <n v="1"/>
    <n v="399"/>
    <n v="5"/>
    <n v="379"/>
    <n v="379"/>
    <x v="3"/>
    <x v="1"/>
    <n v="55"/>
    <s v="No"/>
    <n v="18.96"/>
    <n v="191.42"/>
    <n v="113.62"/>
    <n v="379"/>
    <n v="34"/>
    <s v="2026-08"/>
  </r>
  <r>
    <s v="MS100136"/>
    <d v="2026-06-21T00:00:00"/>
    <x v="6"/>
    <s v="Women Kurti Set"/>
    <x v="3"/>
    <x v="6"/>
    <s v="Uttar Pradesh"/>
    <n v="1"/>
    <n v="699"/>
    <n v="35"/>
    <n v="454"/>
    <n v="454"/>
    <x v="3"/>
    <x v="0"/>
    <n v="35"/>
    <s v="No"/>
    <n v="32.54"/>
    <n v="215.6"/>
    <n v="170.86"/>
    <n v="454"/>
    <n v="25"/>
    <s v="2026-06"/>
  </r>
  <r>
    <s v="MS100137"/>
    <d v="2026-06-01T00:00:00"/>
    <x v="6"/>
    <s v="Leggings"/>
    <x v="3"/>
    <x v="0"/>
    <s v="Maharashtra"/>
    <n v="1"/>
    <n v="299"/>
    <n v="10"/>
    <n v="269"/>
    <n v="269"/>
    <x v="2"/>
    <x v="0"/>
    <n v="65"/>
    <s v="Yes"/>
    <n v="13.09"/>
    <n v="115.6"/>
    <n v="75.31"/>
    <n v="269"/>
    <n v="23"/>
    <s v="2026-06"/>
  </r>
  <r>
    <s v="MS100138"/>
    <d v="2026-06-09T00:00:00"/>
    <x v="6"/>
    <s v="Handbag"/>
    <x v="6"/>
    <x v="4"/>
    <s v="Rajasthan"/>
    <n v="1"/>
    <n v="549"/>
    <n v="10"/>
    <n v="494"/>
    <n v="494"/>
    <x v="0"/>
    <x v="0"/>
    <n v="65"/>
    <s v="No"/>
    <n v="26.79"/>
    <n v="255.8"/>
    <n v="146.41"/>
    <n v="494"/>
    <n v="24"/>
    <s v="2026-06"/>
  </r>
  <r>
    <s v="MS100139"/>
    <d v="2026-04-06T00:00:00"/>
    <x v="0"/>
    <s v="Women Kurti Set"/>
    <x v="3"/>
    <x v="4"/>
    <s v="Rajasthan"/>
    <n v="2"/>
    <n v="699"/>
    <n v="20"/>
    <n v="559"/>
    <n v="1118"/>
    <x v="3"/>
    <x v="0"/>
    <n v="65"/>
    <s v="No"/>
    <n v="67.95"/>
    <n v="492.47"/>
    <n v="492.58"/>
    <n v="559"/>
    <n v="15"/>
    <s v="2026-04"/>
  </r>
  <r>
    <s v="MS100140"/>
    <d v="2026-08-21T00:00:00"/>
    <x v="5"/>
    <s v="Leggings"/>
    <x v="3"/>
    <x v="1"/>
    <s v="Karnataka"/>
    <n v="2"/>
    <n v="299"/>
    <n v="15"/>
    <n v="254"/>
    <n v="508"/>
    <x v="0"/>
    <x v="1"/>
    <n v="45"/>
    <s v="No"/>
    <n v="35.57"/>
    <n v="241.71"/>
    <n v="185.72"/>
    <n v="254"/>
    <n v="34"/>
    <s v="2026-08"/>
  </r>
  <r>
    <s v="MS100141"/>
    <d v="2026-06-29T00:00:00"/>
    <x v="6"/>
    <s v="Men's T-Shirt"/>
    <x v="2"/>
    <x v="7"/>
    <s v="Delhi"/>
    <n v="2"/>
    <n v="449"/>
    <n v="20"/>
    <n v="359"/>
    <n v="718"/>
    <x v="0"/>
    <x v="1"/>
    <n v="45"/>
    <s v="No"/>
    <n v="39.4"/>
    <n v="333.99"/>
    <n v="299.61"/>
    <n v="359"/>
    <n v="27"/>
    <s v="2026-06"/>
  </r>
  <r>
    <s v="MS100142"/>
    <d v="2026-04-23T00:00:00"/>
    <x v="0"/>
    <s v="Kids Dress"/>
    <x v="1"/>
    <x v="7"/>
    <s v="Delhi"/>
    <n v="1"/>
    <n v="599"/>
    <n v="15"/>
    <n v="509"/>
    <n v="509"/>
    <x v="0"/>
    <x v="1"/>
    <n v="65"/>
    <s v="No"/>
    <n v="26.21"/>
    <n v="254.14"/>
    <n v="163.65"/>
    <n v="509"/>
    <n v="17"/>
    <s v="2026-04"/>
  </r>
  <r>
    <s v="MS100143"/>
    <d v="2026-02-21T00:00:00"/>
    <x v="8"/>
    <s v="Women's Top"/>
    <x v="3"/>
    <x v="6"/>
    <s v="Uttar Pradesh"/>
    <n v="2"/>
    <n v="399"/>
    <n v="20"/>
    <n v="319"/>
    <n v="638"/>
    <x v="4"/>
    <x v="1"/>
    <n v="65"/>
    <s v="No"/>
    <n v="38.799999999999997"/>
    <n v="296.52"/>
    <n v="237.68"/>
    <n v="319"/>
    <n v="8"/>
    <s v="2026-02"/>
  </r>
  <r>
    <s v="MS100144"/>
    <d v="2026-04-23T00:00:00"/>
    <x v="0"/>
    <s v="Printed Saree"/>
    <x v="3"/>
    <x v="4"/>
    <s v="Rajasthan"/>
    <n v="1"/>
    <n v="899"/>
    <n v="20"/>
    <n v="719"/>
    <n v="719"/>
    <x v="4"/>
    <x v="1"/>
    <n v="55"/>
    <s v="No"/>
    <n v="57.05"/>
    <n v="312.10000000000002"/>
    <n v="294.85000000000002"/>
    <n v="719"/>
    <n v="17"/>
    <s v="2026-04"/>
  </r>
  <r>
    <s v="MS100145"/>
    <d v="2026-04-11T00:00:00"/>
    <x v="0"/>
    <s v="Men's T-Shirt"/>
    <x v="2"/>
    <x v="8"/>
    <s v="Telangana"/>
    <n v="1"/>
    <n v="449"/>
    <n v="30"/>
    <n v="314"/>
    <n v="314"/>
    <x v="0"/>
    <x v="0"/>
    <n v="45"/>
    <s v="No"/>
    <n v="20.29"/>
    <n v="134.5"/>
    <n v="114.21"/>
    <n v="314"/>
    <n v="15"/>
    <s v="2026-04"/>
  </r>
  <r>
    <s v="MS100146"/>
    <d v="2026-04-23T00:00:00"/>
    <x v="0"/>
    <s v="Women's Slippers"/>
    <x v="5"/>
    <x v="4"/>
    <s v="Rajasthan"/>
    <n v="3"/>
    <n v="299"/>
    <n v="20"/>
    <n v="239"/>
    <n v="717"/>
    <x v="2"/>
    <x v="0"/>
    <n v="35"/>
    <s v="Yes"/>
    <n v="49.48"/>
    <n v="324.3"/>
    <n v="308.22000000000003"/>
    <n v="239"/>
    <n v="17"/>
    <s v="2026-04"/>
  </r>
  <r>
    <s v="MS100147"/>
    <d v="2026-03-22T00:00:00"/>
    <x v="1"/>
    <s v="Makeup Organizer"/>
    <x v="0"/>
    <x v="4"/>
    <s v="Rajasthan"/>
    <n v="1"/>
    <n v="349"/>
    <n v="25"/>
    <n v="262"/>
    <n v="262"/>
    <x v="0"/>
    <x v="1"/>
    <n v="65"/>
    <s v="No"/>
    <n v="18.02"/>
    <n v="133.36000000000001"/>
    <n v="45.62"/>
    <n v="262"/>
    <n v="12"/>
    <s v="2026-03"/>
  </r>
  <r>
    <s v="MS100148"/>
    <d v="2026-07-06T00:00:00"/>
    <x v="2"/>
    <s v="Women's Top"/>
    <x v="3"/>
    <x v="7"/>
    <s v="Delhi"/>
    <n v="1"/>
    <n v="399"/>
    <n v="35"/>
    <n v="259"/>
    <n v="259"/>
    <x v="1"/>
    <x v="0"/>
    <n v="45"/>
    <s v="No"/>
    <n v="11.51"/>
    <n v="128.44999999999999"/>
    <n v="74.040000000000006"/>
    <n v="259"/>
    <n v="28"/>
    <s v="2026-07"/>
  </r>
  <r>
    <s v="MS100149"/>
    <d v="2026-04-23T00:00:00"/>
    <x v="0"/>
    <s v="Printed Saree"/>
    <x v="3"/>
    <x v="3"/>
    <s v="West Bengal"/>
    <n v="1"/>
    <n v="899"/>
    <n v="20"/>
    <n v="719"/>
    <n v="719"/>
    <x v="1"/>
    <x v="1"/>
    <n v="65"/>
    <s v="No"/>
    <n v="43.87"/>
    <n v="319.55"/>
    <n v="290.58"/>
    <n v="719"/>
    <n v="17"/>
    <s v="2026-04"/>
  </r>
  <r>
    <s v="MS100150"/>
    <d v="2026-01-02T00:00:00"/>
    <x v="3"/>
    <s v="Makeup Organizer"/>
    <x v="0"/>
    <x v="2"/>
    <s v="Maharashtra"/>
    <n v="1"/>
    <n v="349"/>
    <n v="10"/>
    <n v="314"/>
    <n v="314"/>
    <x v="0"/>
    <x v="1"/>
    <n v="55"/>
    <s v="No"/>
    <n v="14.96"/>
    <n v="151.15"/>
    <n v="92.89"/>
    <n v="314"/>
    <n v="1"/>
    <s v="2026-01"/>
  </r>
  <r>
    <s v="MS100151"/>
    <d v="2026-05-10T00:00:00"/>
    <x v="4"/>
    <s v="Leggings"/>
    <x v="3"/>
    <x v="2"/>
    <s v="Maharashtra"/>
    <n v="2"/>
    <n v="299"/>
    <n v="20"/>
    <n v="239"/>
    <n v="478"/>
    <x v="2"/>
    <x v="1"/>
    <n v="55"/>
    <s v="Yes"/>
    <n v="19.71"/>
    <n v="236.1"/>
    <n v="167.19"/>
    <n v="239"/>
    <n v="19"/>
    <s v="2026-05"/>
  </r>
  <r>
    <s v="MS100152"/>
    <d v="2026-08-08T00:00:00"/>
    <x v="5"/>
    <s v="Handbag"/>
    <x v="6"/>
    <x v="6"/>
    <s v="Uttar Pradesh"/>
    <n v="1"/>
    <n v="549"/>
    <n v="25"/>
    <n v="412"/>
    <n v="412"/>
    <x v="0"/>
    <x v="1"/>
    <n v="65"/>
    <s v="No"/>
    <n v="20.22"/>
    <n v="207.53"/>
    <n v="119.25"/>
    <n v="412"/>
    <n v="32"/>
    <s v="2026-08"/>
  </r>
  <r>
    <s v="MS100153"/>
    <d v="2026-02-23T00:00:00"/>
    <x v="8"/>
    <s v="Handbag"/>
    <x v="6"/>
    <x v="1"/>
    <s v="Karnataka"/>
    <n v="2"/>
    <n v="549"/>
    <n v="15"/>
    <n v="467"/>
    <n v="934"/>
    <x v="0"/>
    <x v="0"/>
    <n v="35"/>
    <s v="No"/>
    <n v="38.6"/>
    <n v="420.67"/>
    <n v="439.73"/>
    <n v="467"/>
    <n v="9"/>
    <s v="2026-02"/>
  </r>
  <r>
    <s v="MS100154"/>
    <d v="2026-08-12T00:00:00"/>
    <x v="5"/>
    <s v="Bedsheet"/>
    <x v="4"/>
    <x v="2"/>
    <s v="Maharashtra"/>
    <n v="2"/>
    <n v="699"/>
    <n v="30"/>
    <n v="489"/>
    <n v="978"/>
    <x v="3"/>
    <x v="1"/>
    <n v="45"/>
    <s v="No"/>
    <n v="64.58"/>
    <n v="496.26"/>
    <n v="372.16"/>
    <n v="489"/>
    <n v="33"/>
    <s v="2026-08"/>
  </r>
  <r>
    <s v="MS100155"/>
    <d v="2026-08-13T00:00:00"/>
    <x v="5"/>
    <s v="Kids Dress"/>
    <x v="1"/>
    <x v="0"/>
    <s v="Maharashtra"/>
    <n v="1"/>
    <n v="599"/>
    <n v="20"/>
    <n v="479"/>
    <n v="479"/>
    <x v="1"/>
    <x v="0"/>
    <n v="65"/>
    <s v="No"/>
    <n v="21.63"/>
    <n v="220.95"/>
    <n v="171.42"/>
    <n v="479"/>
    <n v="33"/>
    <s v="2026-08"/>
  </r>
  <r>
    <s v="MS100156"/>
    <d v="2026-05-06T00:00:00"/>
    <x v="4"/>
    <s v="Kids Dress"/>
    <x v="1"/>
    <x v="1"/>
    <s v="Karnataka"/>
    <n v="1"/>
    <n v="599"/>
    <n v="20"/>
    <n v="479"/>
    <n v="479"/>
    <x v="0"/>
    <x v="1"/>
    <n v="45"/>
    <s v="No"/>
    <n v="24.53"/>
    <n v="242.29"/>
    <n v="167.18"/>
    <n v="479"/>
    <n v="19"/>
    <s v="2026-05"/>
  </r>
  <r>
    <s v="MS100157"/>
    <d v="2026-05-10T00:00:00"/>
    <x v="4"/>
    <s v="Handbag"/>
    <x v="6"/>
    <x v="7"/>
    <s v="Delhi"/>
    <n v="2"/>
    <n v="549"/>
    <n v="30"/>
    <n v="384"/>
    <n v="768"/>
    <x v="0"/>
    <x v="0"/>
    <n v="55"/>
    <s v="No"/>
    <n v="49.81"/>
    <n v="365.51"/>
    <n v="297.68"/>
    <n v="384"/>
    <n v="19"/>
    <s v="2026-05"/>
  </r>
  <r>
    <s v="MS100158"/>
    <d v="2026-02-22T00:00:00"/>
    <x v="8"/>
    <s v="Kitchen Storage Set"/>
    <x v="4"/>
    <x v="7"/>
    <s v="Delhi"/>
    <n v="2"/>
    <n v="499"/>
    <n v="10"/>
    <n v="449"/>
    <n v="898"/>
    <x v="3"/>
    <x v="1"/>
    <n v="35"/>
    <s v="No"/>
    <n v="38.369999999999997"/>
    <n v="400.81"/>
    <n v="423.82"/>
    <n v="449"/>
    <n v="8"/>
    <s v="2026-02"/>
  </r>
  <r>
    <s v="MS100159"/>
    <d v="2026-06-21T00:00:00"/>
    <x v="6"/>
    <s v="Women Kurti Set"/>
    <x v="3"/>
    <x v="6"/>
    <s v="Uttar Pradesh"/>
    <n v="1"/>
    <n v="699"/>
    <n v="30"/>
    <n v="489"/>
    <n v="489"/>
    <x v="0"/>
    <x v="1"/>
    <n v="35"/>
    <s v="No"/>
    <n v="25.43"/>
    <n v="241.72"/>
    <n v="186.85"/>
    <n v="489"/>
    <n v="25"/>
    <s v="2026-06"/>
  </r>
  <r>
    <s v="MS100160"/>
    <d v="2026-08-06T00:00:00"/>
    <x v="5"/>
    <s v="Bedsheet"/>
    <x v="4"/>
    <x v="6"/>
    <s v="Uttar Pradesh"/>
    <n v="2"/>
    <n v="699"/>
    <n v="15"/>
    <n v="594"/>
    <n v="1188"/>
    <x v="0"/>
    <x v="1"/>
    <n v="65"/>
    <s v="No"/>
    <n v="56.33"/>
    <n v="508.34"/>
    <n v="558.33000000000004"/>
    <n v="594"/>
    <n v="32"/>
    <s v="2026-08"/>
  </r>
  <r>
    <s v="MS100161"/>
    <d v="2026-06-09T00:00:00"/>
    <x v="6"/>
    <s v="Women Kurti Set"/>
    <x v="3"/>
    <x v="7"/>
    <s v="Delhi"/>
    <n v="1"/>
    <n v="699"/>
    <n v="30"/>
    <n v="489"/>
    <n v="489"/>
    <x v="0"/>
    <x v="0"/>
    <n v="35"/>
    <s v="No"/>
    <n v="20.8"/>
    <n v="246.03"/>
    <n v="187.17"/>
    <n v="489"/>
    <n v="24"/>
    <s v="2026-06"/>
  </r>
  <r>
    <s v="MS100162"/>
    <d v="2026-07-17T00:00:00"/>
    <x v="2"/>
    <s v="Women Kurti Set"/>
    <x v="3"/>
    <x v="8"/>
    <s v="Telangana"/>
    <n v="1"/>
    <n v="699"/>
    <n v="35"/>
    <n v="454"/>
    <n v="454"/>
    <x v="3"/>
    <x v="1"/>
    <n v="35"/>
    <s v="No"/>
    <n v="19.329999999999998"/>
    <n v="234.07"/>
    <n v="165.6"/>
    <n v="454"/>
    <n v="29"/>
    <s v="2026-07"/>
  </r>
  <r>
    <s v="MS100163"/>
    <d v="2026-09-04T00:00:00"/>
    <x v="7"/>
    <s v="Oxidised Jewellery Set"/>
    <x v="7"/>
    <x v="6"/>
    <s v="Uttar Pradesh"/>
    <n v="1"/>
    <n v="249"/>
    <n v="20"/>
    <n v="199"/>
    <n v="199"/>
    <x v="3"/>
    <x v="1"/>
    <n v="35"/>
    <s v="No"/>
    <n v="10.67"/>
    <n v="86.86"/>
    <n v="66.47"/>
    <n v="199"/>
    <n v="36"/>
    <s v="2026-09"/>
  </r>
  <r>
    <s v="MS100164"/>
    <d v="2026-07-22T00:00:00"/>
    <x v="2"/>
    <s v="Women's Top"/>
    <x v="3"/>
    <x v="7"/>
    <s v="Delhi"/>
    <n v="1"/>
    <n v="399"/>
    <n v="30"/>
    <n v="279"/>
    <n v="279"/>
    <x v="0"/>
    <x v="1"/>
    <n v="55"/>
    <s v="No"/>
    <n v="16.88"/>
    <n v="120.09"/>
    <n v="87.03"/>
    <n v="279"/>
    <n v="30"/>
    <s v="2026-07"/>
  </r>
  <r>
    <s v="MS100165"/>
    <d v="2026-07-03T00:00:00"/>
    <x v="2"/>
    <s v="Handbag"/>
    <x v="6"/>
    <x v="9"/>
    <s v="Gujarat"/>
    <n v="1"/>
    <n v="549"/>
    <n v="15"/>
    <n v="467"/>
    <n v="467"/>
    <x v="0"/>
    <x v="1"/>
    <n v="35"/>
    <s v="No"/>
    <n v="28.14"/>
    <n v="225.75"/>
    <n v="178.11"/>
    <n v="467"/>
    <n v="27"/>
    <s v="2026-07"/>
  </r>
  <r>
    <s v="MS100166"/>
    <d v="2026-05-03T00:00:00"/>
    <x v="4"/>
    <s v="Kitchen Storage Set"/>
    <x v="4"/>
    <x v="0"/>
    <s v="Maharashtra"/>
    <n v="1"/>
    <n v="499"/>
    <n v="20"/>
    <n v="399"/>
    <n v="399"/>
    <x v="0"/>
    <x v="1"/>
    <n v="65"/>
    <s v="No"/>
    <n v="19.77"/>
    <n v="186.32"/>
    <n v="127.91"/>
    <n v="399"/>
    <n v="18"/>
    <s v="2026-05"/>
  </r>
  <r>
    <s v="MS100167"/>
    <d v="2026-09-12T00:00:00"/>
    <x v="7"/>
    <s v="Women Kurti Set"/>
    <x v="3"/>
    <x v="7"/>
    <s v="Delhi"/>
    <n v="1"/>
    <n v="699"/>
    <n v="25"/>
    <n v="524"/>
    <n v="524"/>
    <x v="0"/>
    <x v="0"/>
    <n v="65"/>
    <s v="No"/>
    <n v="33.340000000000003"/>
    <n v="248.22"/>
    <n v="177.44"/>
    <n v="524"/>
    <n v="37"/>
    <s v="2026-09"/>
  </r>
  <r>
    <s v="MS100168"/>
    <d v="2026-04-08T00:00:00"/>
    <x v="0"/>
    <s v="Women Kurti Set"/>
    <x v="3"/>
    <x v="6"/>
    <s v="Uttar Pradesh"/>
    <n v="1"/>
    <n v="699"/>
    <n v="10"/>
    <n v="629"/>
    <n v="629"/>
    <x v="0"/>
    <x v="1"/>
    <n v="35"/>
    <s v="No"/>
    <n v="36.19"/>
    <n v="277.92"/>
    <n v="279.89"/>
    <n v="629"/>
    <n v="15"/>
    <s v="2026-04"/>
  </r>
  <r>
    <s v="MS100169"/>
    <d v="2026-07-17T00:00:00"/>
    <x v="2"/>
    <s v="Leggings"/>
    <x v="3"/>
    <x v="3"/>
    <s v="West Bengal"/>
    <n v="1"/>
    <n v="299"/>
    <n v="10"/>
    <n v="269"/>
    <n v="269"/>
    <x v="0"/>
    <x v="1"/>
    <n v="65"/>
    <s v="No"/>
    <n v="16.48"/>
    <n v="136.65"/>
    <n v="50.87"/>
    <n v="269"/>
    <n v="29"/>
    <s v="2026-07"/>
  </r>
  <r>
    <s v="MS100170"/>
    <d v="2026-08-28T00:00:00"/>
    <x v="5"/>
    <s v="Oxidised Jewellery Set"/>
    <x v="7"/>
    <x v="7"/>
    <s v="Delhi"/>
    <n v="1"/>
    <n v="249"/>
    <n v="35"/>
    <n v="162"/>
    <n v="162"/>
    <x v="0"/>
    <x v="0"/>
    <n v="65"/>
    <s v="No"/>
    <n v="9.2100000000000009"/>
    <n v="74.7"/>
    <n v="13.09"/>
    <n v="162"/>
    <n v="35"/>
    <s v="2026-08"/>
  </r>
  <r>
    <s v="MS100171"/>
    <d v="2026-05-24T00:00:00"/>
    <x v="4"/>
    <s v="Women's Top"/>
    <x v="3"/>
    <x v="2"/>
    <s v="Maharashtra"/>
    <n v="2"/>
    <n v="399"/>
    <n v="40"/>
    <n v="239"/>
    <n v="478"/>
    <x v="1"/>
    <x v="0"/>
    <n v="65"/>
    <s v="No"/>
    <n v="35.619999999999997"/>
    <n v="200.86"/>
    <n v="176.52"/>
    <n v="239"/>
    <n v="21"/>
    <s v="2026-05"/>
  </r>
  <r>
    <s v="MS100172"/>
    <d v="2026-04-07T00:00:00"/>
    <x v="0"/>
    <s v="Oxidised Jewellery Set"/>
    <x v="7"/>
    <x v="2"/>
    <s v="Maharashtra"/>
    <n v="1"/>
    <n v="249"/>
    <n v="25"/>
    <n v="187"/>
    <n v="187"/>
    <x v="0"/>
    <x v="1"/>
    <n v="45"/>
    <s v="No"/>
    <n v="13.47"/>
    <n v="90.93"/>
    <n v="37.6"/>
    <n v="187"/>
    <n v="15"/>
    <s v="2026-04"/>
  </r>
  <r>
    <s v="MS100173"/>
    <d v="2026-07-20T00:00:00"/>
    <x v="2"/>
    <s v="Women's Slippers"/>
    <x v="5"/>
    <x v="6"/>
    <s v="Uttar Pradesh"/>
    <n v="2"/>
    <n v="299"/>
    <n v="10"/>
    <n v="269"/>
    <n v="538"/>
    <x v="0"/>
    <x v="0"/>
    <n v="55"/>
    <s v="No"/>
    <n v="37.659999999999997"/>
    <n v="248.16"/>
    <n v="197.18"/>
    <n v="269"/>
    <n v="30"/>
    <s v="2026-07"/>
  </r>
  <r>
    <s v="MS100174"/>
    <d v="2026-05-04T00:00:00"/>
    <x v="4"/>
    <s v="Makeup Organizer"/>
    <x v="0"/>
    <x v="0"/>
    <s v="Maharashtra"/>
    <n v="2"/>
    <n v="349"/>
    <n v="25"/>
    <n v="262"/>
    <n v="524"/>
    <x v="0"/>
    <x v="0"/>
    <n v="55"/>
    <s v="No"/>
    <n v="40.1"/>
    <n v="252.18"/>
    <n v="176.72"/>
    <n v="262"/>
    <n v="19"/>
    <s v="2026-05"/>
  </r>
  <r>
    <s v="MS100175"/>
    <d v="2026-07-06T00:00:00"/>
    <x v="2"/>
    <s v="Bedsheet"/>
    <x v="4"/>
    <x v="9"/>
    <s v="Gujarat"/>
    <n v="1"/>
    <n v="699"/>
    <n v="35"/>
    <n v="454"/>
    <n v="454"/>
    <x v="0"/>
    <x v="0"/>
    <n v="65"/>
    <s v="No"/>
    <n v="36.159999999999997"/>
    <n v="227.91"/>
    <n v="124.93"/>
    <n v="454"/>
    <n v="28"/>
    <s v="2026-07"/>
  </r>
  <r>
    <s v="MS100176"/>
    <d v="2026-09-16T00:00:00"/>
    <x v="7"/>
    <s v="Women's Slippers"/>
    <x v="5"/>
    <x v="7"/>
    <s v="Delhi"/>
    <n v="1"/>
    <n v="299"/>
    <n v="10"/>
    <n v="269"/>
    <n v="269"/>
    <x v="0"/>
    <x v="1"/>
    <n v="35"/>
    <s v="No"/>
    <n v="12.08"/>
    <n v="128.01"/>
    <n v="93.91"/>
    <n v="269"/>
    <n v="38"/>
    <s v="2026-09"/>
  </r>
  <r>
    <s v="MS100177"/>
    <d v="2026-05-28T00:00:00"/>
    <x v="4"/>
    <s v="Oxidised Jewellery Set"/>
    <x v="7"/>
    <x v="6"/>
    <s v="Uttar Pradesh"/>
    <n v="1"/>
    <n v="249"/>
    <n v="30"/>
    <n v="174"/>
    <n v="174"/>
    <x v="3"/>
    <x v="1"/>
    <n v="45"/>
    <s v="No"/>
    <n v="9.77"/>
    <n v="74.430000000000007"/>
    <n v="44.8"/>
    <n v="174"/>
    <n v="22"/>
    <s v="2026-05"/>
  </r>
  <r>
    <s v="MS100178"/>
    <d v="2026-09-09T00:00:00"/>
    <x v="7"/>
    <s v="Leggings"/>
    <x v="3"/>
    <x v="5"/>
    <s v="Maharashtra"/>
    <n v="1"/>
    <n v="299"/>
    <n v="15"/>
    <n v="254"/>
    <n v="254"/>
    <x v="0"/>
    <x v="1"/>
    <n v="55"/>
    <s v="No"/>
    <n v="18.87"/>
    <n v="129.96"/>
    <n v="50.17"/>
    <n v="254"/>
    <n v="37"/>
    <s v="2026-09"/>
  </r>
  <r>
    <s v="MS100179"/>
    <d v="2026-05-27T00:00:00"/>
    <x v="4"/>
    <s v="Men's T-Shirt"/>
    <x v="2"/>
    <x v="5"/>
    <s v="Maharashtra"/>
    <n v="1"/>
    <n v="449"/>
    <n v="5"/>
    <n v="427"/>
    <n v="427"/>
    <x v="0"/>
    <x v="1"/>
    <n v="65"/>
    <s v="No"/>
    <n v="23.48"/>
    <n v="186.46"/>
    <n v="152.06"/>
    <n v="427"/>
    <n v="22"/>
    <s v="2026-05"/>
  </r>
  <r>
    <s v="MS100180"/>
    <d v="2026-05-28T00:00:00"/>
    <x v="4"/>
    <s v="Bedsheet"/>
    <x v="4"/>
    <x v="8"/>
    <s v="Telangana"/>
    <n v="2"/>
    <n v="699"/>
    <n v="15"/>
    <n v="594"/>
    <n v="1188"/>
    <x v="0"/>
    <x v="1"/>
    <n v="35"/>
    <s v="No"/>
    <n v="72.099999999999994"/>
    <n v="543.97"/>
    <n v="536.92999999999995"/>
    <n v="594"/>
    <n v="22"/>
    <s v="2026-05"/>
  </r>
  <r>
    <s v="MS100181"/>
    <d v="2026-07-18T00:00:00"/>
    <x v="2"/>
    <s v="Kids Dress"/>
    <x v="1"/>
    <x v="2"/>
    <s v="Maharashtra"/>
    <n v="1"/>
    <n v="599"/>
    <n v="30"/>
    <n v="419"/>
    <n v="419"/>
    <x v="0"/>
    <x v="1"/>
    <n v="65"/>
    <s v="No"/>
    <n v="20.41"/>
    <n v="217.38"/>
    <n v="116.21"/>
    <n v="419"/>
    <n v="29"/>
    <s v="2026-07"/>
  </r>
  <r>
    <s v="MS100182"/>
    <d v="2026-05-08T00:00:00"/>
    <x v="4"/>
    <s v="Bedsheet"/>
    <x v="4"/>
    <x v="2"/>
    <s v="Maharashtra"/>
    <n v="1"/>
    <n v="699"/>
    <n v="20"/>
    <n v="559"/>
    <n v="559"/>
    <x v="0"/>
    <x v="1"/>
    <n v="55"/>
    <s v="No"/>
    <n v="34.25"/>
    <n v="242.37"/>
    <n v="227.38"/>
    <n v="559"/>
    <n v="19"/>
    <s v="2026-05"/>
  </r>
  <r>
    <s v="MS100183"/>
    <d v="2026-02-08T00:00:00"/>
    <x v="8"/>
    <s v="Leggings"/>
    <x v="3"/>
    <x v="5"/>
    <s v="Maharashtra"/>
    <n v="1"/>
    <n v="299"/>
    <n v="15"/>
    <n v="254"/>
    <n v="254"/>
    <x v="0"/>
    <x v="1"/>
    <n v="35"/>
    <s v="No"/>
    <n v="13.1"/>
    <n v="129.54"/>
    <n v="76.36"/>
    <n v="254"/>
    <n v="6"/>
    <s v="2026-02"/>
  </r>
  <r>
    <s v="MS100184"/>
    <d v="2026-05-09T00:00:00"/>
    <x v="4"/>
    <s v="Makeup Organizer"/>
    <x v="0"/>
    <x v="8"/>
    <s v="Telangana"/>
    <n v="1"/>
    <n v="349"/>
    <n v="20"/>
    <n v="279"/>
    <n v="279"/>
    <x v="2"/>
    <x v="0"/>
    <n v="35"/>
    <s v="Yes"/>
    <n v="22.14"/>
    <n v="125.23"/>
    <n v="96.63"/>
    <n v="279"/>
    <n v="19"/>
    <s v="2026-05"/>
  </r>
  <r>
    <s v="MS100185"/>
    <d v="2026-09-24T00:00:00"/>
    <x v="7"/>
    <s v="Bedsheet"/>
    <x v="4"/>
    <x v="2"/>
    <s v="Maharashtra"/>
    <n v="1"/>
    <n v="699"/>
    <n v="15"/>
    <n v="594"/>
    <n v="594"/>
    <x v="0"/>
    <x v="1"/>
    <n v="35"/>
    <s v="No"/>
    <n v="35.11"/>
    <n v="281.10000000000002"/>
    <n v="242.79"/>
    <n v="594"/>
    <n v="39"/>
    <s v="2026-09"/>
  </r>
  <r>
    <s v="MS100186"/>
    <d v="2026-05-31T00:00:00"/>
    <x v="4"/>
    <s v="Women's Top"/>
    <x v="3"/>
    <x v="4"/>
    <s v="Rajasthan"/>
    <n v="1"/>
    <n v="399"/>
    <n v="15"/>
    <n v="339"/>
    <n v="339"/>
    <x v="0"/>
    <x v="0"/>
    <n v="55"/>
    <s v="No"/>
    <n v="15.96"/>
    <n v="159.58000000000001"/>
    <n v="108.46"/>
    <n v="339"/>
    <n v="22"/>
    <s v="2026-05"/>
  </r>
  <r>
    <s v="MS100187"/>
    <d v="2026-04-09T00:00:00"/>
    <x v="0"/>
    <s v="Women's Top"/>
    <x v="3"/>
    <x v="4"/>
    <s v="Rajasthan"/>
    <n v="1"/>
    <n v="399"/>
    <n v="10"/>
    <n v="359"/>
    <n v="359"/>
    <x v="0"/>
    <x v="1"/>
    <n v="35"/>
    <s v="No"/>
    <n v="20.74"/>
    <n v="173.26"/>
    <n v="130"/>
    <n v="359"/>
    <n v="15"/>
    <s v="2026-04"/>
  </r>
  <r>
    <s v="MS100188"/>
    <d v="2026-09-20T00:00:00"/>
    <x v="7"/>
    <s v="Handbag"/>
    <x v="6"/>
    <x v="2"/>
    <s v="Maharashtra"/>
    <n v="1"/>
    <n v="549"/>
    <n v="15"/>
    <n v="467"/>
    <n v="467"/>
    <x v="0"/>
    <x v="1"/>
    <n v="65"/>
    <s v="No"/>
    <n v="30.27"/>
    <n v="205.54"/>
    <n v="166.19"/>
    <n v="467"/>
    <n v="38"/>
    <s v="2026-09"/>
  </r>
  <r>
    <s v="MS100189"/>
    <d v="2026-09-09T00:00:00"/>
    <x v="7"/>
    <s v="Women's Slippers"/>
    <x v="5"/>
    <x v="8"/>
    <s v="Telangana"/>
    <n v="1"/>
    <n v="299"/>
    <n v="20"/>
    <n v="239"/>
    <n v="239"/>
    <x v="0"/>
    <x v="1"/>
    <n v="65"/>
    <s v="No"/>
    <n v="15.23"/>
    <n v="114.7"/>
    <n v="44.07"/>
    <n v="239"/>
    <n v="37"/>
    <s v="2026-09"/>
  </r>
  <r>
    <s v="MS100190"/>
    <d v="2026-05-24T00:00:00"/>
    <x v="4"/>
    <s v="Women's Slippers"/>
    <x v="5"/>
    <x v="9"/>
    <s v="Gujarat"/>
    <n v="1"/>
    <n v="299"/>
    <n v="30"/>
    <n v="209"/>
    <n v="209"/>
    <x v="0"/>
    <x v="1"/>
    <n v="35"/>
    <s v="No"/>
    <n v="14.05"/>
    <n v="97.54"/>
    <n v="62.41"/>
    <n v="209"/>
    <n v="21"/>
    <s v="2026-05"/>
  </r>
  <r>
    <s v="MS100191"/>
    <d v="2026-04-22T00:00:00"/>
    <x v="0"/>
    <s v="Leggings"/>
    <x v="3"/>
    <x v="2"/>
    <s v="Maharashtra"/>
    <n v="2"/>
    <n v="299"/>
    <n v="20"/>
    <n v="239"/>
    <n v="478"/>
    <x v="0"/>
    <x v="1"/>
    <n v="65"/>
    <s v="No"/>
    <n v="35.630000000000003"/>
    <n v="228.9"/>
    <n v="148.47"/>
    <n v="239"/>
    <n v="17"/>
    <s v="2026-04"/>
  </r>
  <r>
    <s v="MS100192"/>
    <d v="2026-03-01T00:00:00"/>
    <x v="1"/>
    <s v="Leggings"/>
    <x v="3"/>
    <x v="2"/>
    <s v="Maharashtra"/>
    <n v="1"/>
    <n v="299"/>
    <n v="20"/>
    <n v="239"/>
    <n v="239"/>
    <x v="0"/>
    <x v="0"/>
    <n v="65"/>
    <s v="No"/>
    <n v="14.27"/>
    <n v="114.18"/>
    <n v="45.55"/>
    <n v="239"/>
    <n v="9"/>
    <s v="2026-03"/>
  </r>
  <r>
    <s v="MS100193"/>
    <d v="2026-01-02T00:00:00"/>
    <x v="3"/>
    <s v="Kids Dress"/>
    <x v="1"/>
    <x v="0"/>
    <s v="Maharashtra"/>
    <n v="1"/>
    <n v="599"/>
    <n v="25"/>
    <n v="449"/>
    <n v="449"/>
    <x v="0"/>
    <x v="1"/>
    <n v="55"/>
    <s v="No"/>
    <n v="35.130000000000003"/>
    <n v="197.58"/>
    <n v="161.29"/>
    <n v="449"/>
    <n v="1"/>
    <s v="2026-01"/>
  </r>
  <r>
    <s v="MS100194"/>
    <d v="2026-09-11T00:00:00"/>
    <x v="7"/>
    <s v="Bedsheet"/>
    <x v="4"/>
    <x v="2"/>
    <s v="Maharashtra"/>
    <n v="1"/>
    <n v="699"/>
    <n v="15"/>
    <n v="594"/>
    <n v="594"/>
    <x v="0"/>
    <x v="1"/>
    <n v="55"/>
    <s v="No"/>
    <n v="44.75"/>
    <n v="276.11"/>
    <n v="218.14"/>
    <n v="594"/>
    <n v="37"/>
    <s v="2026-09"/>
  </r>
  <r>
    <s v="MS100195"/>
    <d v="2026-05-20T00:00:00"/>
    <x v="4"/>
    <s v="Oxidised Jewellery Set"/>
    <x v="7"/>
    <x v="0"/>
    <s v="Maharashtra"/>
    <n v="1"/>
    <n v="249"/>
    <n v="25"/>
    <n v="187"/>
    <n v="187"/>
    <x v="3"/>
    <x v="0"/>
    <n v="45"/>
    <s v="No"/>
    <n v="11.42"/>
    <n v="90.37"/>
    <n v="40.21"/>
    <n v="187"/>
    <n v="21"/>
    <s v="2026-05"/>
  </r>
  <r>
    <s v="MS100196"/>
    <d v="2026-02-06T00:00:00"/>
    <x v="8"/>
    <s v="Women's Slippers"/>
    <x v="5"/>
    <x v="0"/>
    <s v="Maharashtra"/>
    <n v="1"/>
    <n v="299"/>
    <n v="30"/>
    <n v="209"/>
    <n v="209"/>
    <x v="0"/>
    <x v="0"/>
    <n v="45"/>
    <s v="No"/>
    <n v="8.43"/>
    <n v="108.63"/>
    <n v="46.94"/>
    <n v="209"/>
    <n v="6"/>
    <s v="2026-02"/>
  </r>
  <r>
    <s v="MS100197"/>
    <d v="2026-06-09T00:00:00"/>
    <x v="6"/>
    <s v="Women Kurti Set"/>
    <x v="3"/>
    <x v="6"/>
    <s v="Uttar Pradesh"/>
    <n v="1"/>
    <n v="699"/>
    <n v="5"/>
    <n v="664"/>
    <n v="664"/>
    <x v="3"/>
    <x v="1"/>
    <n v="35"/>
    <s v="No"/>
    <n v="43.37"/>
    <n v="283.45999999999998"/>
    <n v="302.17"/>
    <n v="664"/>
    <n v="24"/>
    <s v="2026-06"/>
  </r>
  <r>
    <s v="MS100198"/>
    <d v="2026-01-09T00:00:00"/>
    <x v="3"/>
    <s v="Men's T-Shirt"/>
    <x v="2"/>
    <x v="8"/>
    <s v="Telangana"/>
    <n v="2"/>
    <n v="449"/>
    <n v="30"/>
    <n v="314"/>
    <n v="628"/>
    <x v="4"/>
    <x v="1"/>
    <n v="55"/>
    <s v="No"/>
    <n v="40.53"/>
    <n v="269.32"/>
    <n v="263.14999999999998"/>
    <n v="314"/>
    <n v="2"/>
    <s v="2026-01"/>
  </r>
  <r>
    <s v="MS100199"/>
    <d v="2026-08-21T00:00:00"/>
    <x v="5"/>
    <s v="Bedsheet"/>
    <x v="4"/>
    <x v="9"/>
    <s v="Gujarat"/>
    <n v="1"/>
    <n v="699"/>
    <n v="20"/>
    <n v="559"/>
    <n v="559"/>
    <x v="0"/>
    <x v="0"/>
    <n v="35"/>
    <s v="No"/>
    <n v="43.55"/>
    <n v="238.82"/>
    <n v="241.63"/>
    <n v="559"/>
    <n v="34"/>
    <s v="2026-08"/>
  </r>
  <r>
    <s v="MS100200"/>
    <d v="2026-04-09T00:00:00"/>
    <x v="0"/>
    <s v="Kids Dress"/>
    <x v="1"/>
    <x v="9"/>
    <s v="Gujarat"/>
    <n v="1"/>
    <n v="599"/>
    <n v="10"/>
    <n v="539"/>
    <n v="539"/>
    <x v="0"/>
    <x v="1"/>
    <n v="45"/>
    <s v="No"/>
    <n v="26.78"/>
    <n v="252.16"/>
    <n v="215.06"/>
    <n v="539"/>
    <n v="15"/>
    <s v="2026-04"/>
  </r>
  <r>
    <s v="MS100201"/>
    <d v="2026-05-27T00:00:00"/>
    <x v="4"/>
    <s v="Makeup Organizer"/>
    <x v="0"/>
    <x v="6"/>
    <s v="Uttar Pradesh"/>
    <n v="1"/>
    <n v="349"/>
    <n v="15"/>
    <n v="297"/>
    <n v="297"/>
    <x v="0"/>
    <x v="1"/>
    <n v="65"/>
    <s v="No"/>
    <n v="15.36"/>
    <n v="129.26"/>
    <n v="87.38"/>
    <n v="297"/>
    <n v="22"/>
    <s v="2026-05"/>
  </r>
  <r>
    <s v="MS100202"/>
    <d v="2026-07-27T00:00:00"/>
    <x v="2"/>
    <s v="Leggings"/>
    <x v="3"/>
    <x v="4"/>
    <s v="Rajasthan"/>
    <n v="1"/>
    <n v="299"/>
    <n v="15"/>
    <n v="254"/>
    <n v="254"/>
    <x v="3"/>
    <x v="1"/>
    <n v="35"/>
    <s v="No"/>
    <n v="10.5"/>
    <n v="112.13"/>
    <n v="96.37"/>
    <n v="254"/>
    <n v="31"/>
    <s v="2026-07"/>
  </r>
  <r>
    <s v="MS100203"/>
    <d v="2026-05-11T00:00:00"/>
    <x v="4"/>
    <s v="Kitchen Storage Set"/>
    <x v="4"/>
    <x v="9"/>
    <s v="Gujarat"/>
    <n v="1"/>
    <n v="499"/>
    <n v="25"/>
    <n v="374"/>
    <n v="374"/>
    <x v="1"/>
    <x v="1"/>
    <n v="45"/>
    <s v="No"/>
    <n v="23.72"/>
    <n v="180.45"/>
    <n v="124.83"/>
    <n v="374"/>
    <n v="20"/>
    <s v="2026-05"/>
  </r>
  <r>
    <s v="MS100204"/>
    <d v="2026-06-01T00:00:00"/>
    <x v="6"/>
    <s v="Printed Saree"/>
    <x v="3"/>
    <x v="0"/>
    <s v="Maharashtra"/>
    <n v="1"/>
    <n v="899"/>
    <n v="30"/>
    <n v="629"/>
    <n v="629"/>
    <x v="1"/>
    <x v="0"/>
    <n v="45"/>
    <s v="No"/>
    <n v="39.33"/>
    <n v="271.73"/>
    <n v="272.94"/>
    <n v="629"/>
    <n v="23"/>
    <s v="2026-06"/>
  </r>
  <r>
    <s v="MS100205"/>
    <d v="2026-02-23T00:00:00"/>
    <x v="8"/>
    <s v="Men's T-Shirt"/>
    <x v="2"/>
    <x v="0"/>
    <s v="Maharashtra"/>
    <n v="1"/>
    <n v="449"/>
    <n v="10"/>
    <n v="404"/>
    <n v="404"/>
    <x v="4"/>
    <x v="0"/>
    <n v="65"/>
    <s v="No"/>
    <n v="26.33"/>
    <n v="171.88"/>
    <n v="140.79"/>
    <n v="404"/>
    <n v="9"/>
    <s v="2026-02"/>
  </r>
  <r>
    <s v="MS100206"/>
    <d v="2026-04-30T00:00:00"/>
    <x v="0"/>
    <s v="Kitchen Storage Set"/>
    <x v="4"/>
    <x v="2"/>
    <s v="Maharashtra"/>
    <n v="1"/>
    <n v="499"/>
    <n v="5"/>
    <n v="474"/>
    <n v="474"/>
    <x v="0"/>
    <x v="1"/>
    <n v="45"/>
    <s v="No"/>
    <n v="35.94"/>
    <n v="226.73"/>
    <n v="166.33"/>
    <n v="474"/>
    <n v="18"/>
    <s v="2026-04"/>
  </r>
  <r>
    <s v="MS100207"/>
    <d v="2026-06-10T00:00:00"/>
    <x v="6"/>
    <s v="Leggings"/>
    <x v="3"/>
    <x v="8"/>
    <s v="Telangana"/>
    <n v="2"/>
    <n v="299"/>
    <n v="10"/>
    <n v="269"/>
    <n v="538"/>
    <x v="2"/>
    <x v="0"/>
    <n v="35"/>
    <s v="Yes"/>
    <n v="29.27"/>
    <n v="240.51"/>
    <n v="233.22"/>
    <n v="269"/>
    <n v="24"/>
    <s v="2026-06"/>
  </r>
  <r>
    <s v="MS100208"/>
    <d v="2026-04-26T00:00:00"/>
    <x v="0"/>
    <s v="Women's Slippers"/>
    <x v="5"/>
    <x v="1"/>
    <s v="Karnataka"/>
    <n v="2"/>
    <n v="299"/>
    <n v="35"/>
    <n v="194"/>
    <n v="388"/>
    <x v="0"/>
    <x v="0"/>
    <n v="35"/>
    <s v="No"/>
    <n v="21.38"/>
    <n v="199.29"/>
    <n v="132.33000000000001"/>
    <n v="194"/>
    <n v="17"/>
    <s v="2026-04"/>
  </r>
  <r>
    <s v="MS100209"/>
    <d v="2026-03-16T00:00:00"/>
    <x v="1"/>
    <s v="Women Kurti Set"/>
    <x v="3"/>
    <x v="5"/>
    <s v="Maharashtra"/>
    <n v="1"/>
    <n v="699"/>
    <n v="25"/>
    <n v="524"/>
    <n v="524"/>
    <x v="2"/>
    <x v="1"/>
    <n v="35"/>
    <s v="Yes"/>
    <n v="35.71"/>
    <n v="220.31"/>
    <n v="232.98"/>
    <n v="524"/>
    <n v="12"/>
    <s v="2026-03"/>
  </r>
  <r>
    <s v="MS100210"/>
    <d v="2026-04-23T00:00:00"/>
    <x v="0"/>
    <s v="Women's Top"/>
    <x v="3"/>
    <x v="8"/>
    <s v="Telangana"/>
    <n v="3"/>
    <n v="399"/>
    <n v="30"/>
    <n v="279"/>
    <n v="837"/>
    <x v="2"/>
    <x v="1"/>
    <n v="55"/>
    <s v="Yes"/>
    <n v="65.08"/>
    <n v="374.05"/>
    <n v="342.87"/>
    <n v="279"/>
    <n v="17"/>
    <s v="2026-04"/>
  </r>
  <r>
    <s v="MS100211"/>
    <d v="2026-04-14T00:00:00"/>
    <x v="0"/>
    <s v="Handbag"/>
    <x v="6"/>
    <x v="8"/>
    <s v="Telangana"/>
    <n v="1"/>
    <n v="549"/>
    <n v="20"/>
    <n v="439"/>
    <n v="439"/>
    <x v="2"/>
    <x v="1"/>
    <n v="65"/>
    <s v="Yes"/>
    <n v="32.76"/>
    <n v="205.27"/>
    <n v="135.97"/>
    <n v="439"/>
    <n v="16"/>
    <s v="2026-04"/>
  </r>
  <r>
    <s v="MS100212"/>
    <d v="2026-09-11T00:00:00"/>
    <x v="7"/>
    <s v="Handbag"/>
    <x v="6"/>
    <x v="3"/>
    <s v="West Bengal"/>
    <n v="1"/>
    <n v="549"/>
    <n v="30"/>
    <n v="384"/>
    <n v="384"/>
    <x v="0"/>
    <x v="1"/>
    <n v="35"/>
    <s v="No"/>
    <n v="21.75"/>
    <n v="188.91"/>
    <n v="138.34"/>
    <n v="384"/>
    <n v="37"/>
    <s v="2026-09"/>
  </r>
  <r>
    <s v="MS100213"/>
    <d v="2026-08-15T00:00:00"/>
    <x v="5"/>
    <s v="Leggings"/>
    <x v="3"/>
    <x v="9"/>
    <s v="Gujarat"/>
    <n v="2"/>
    <n v="299"/>
    <n v="15"/>
    <n v="254"/>
    <n v="508"/>
    <x v="3"/>
    <x v="0"/>
    <n v="35"/>
    <s v="No"/>
    <n v="21.05"/>
    <n v="233.41"/>
    <n v="218.54"/>
    <n v="254"/>
    <n v="33"/>
    <s v="2026-08"/>
  </r>
  <r>
    <s v="MS100214"/>
    <d v="2026-04-22T00:00:00"/>
    <x v="0"/>
    <s v="Bedsheet"/>
    <x v="4"/>
    <x v="0"/>
    <s v="Maharashtra"/>
    <n v="1"/>
    <n v="699"/>
    <n v="40"/>
    <n v="419"/>
    <n v="419"/>
    <x v="0"/>
    <x v="0"/>
    <n v="65"/>
    <s v="No"/>
    <n v="28.71"/>
    <n v="184.33"/>
    <n v="140.96"/>
    <n v="419"/>
    <n v="17"/>
    <s v="2026-04"/>
  </r>
  <r>
    <s v="MS100215"/>
    <d v="2026-04-09T00:00:00"/>
    <x v="0"/>
    <s v="Women's Slippers"/>
    <x v="5"/>
    <x v="7"/>
    <s v="Delhi"/>
    <n v="1"/>
    <n v="299"/>
    <n v="30"/>
    <n v="209"/>
    <n v="209"/>
    <x v="3"/>
    <x v="1"/>
    <n v="35"/>
    <s v="No"/>
    <n v="10.6"/>
    <n v="105.24"/>
    <n v="58.16"/>
    <n v="209"/>
    <n v="15"/>
    <s v="2026-04"/>
  </r>
  <r>
    <s v="MS100216"/>
    <d v="2026-06-02T00:00:00"/>
    <x v="6"/>
    <s v="Women's Top"/>
    <x v="3"/>
    <x v="9"/>
    <s v="Gujarat"/>
    <n v="1"/>
    <n v="399"/>
    <n v="5"/>
    <n v="379"/>
    <n v="379"/>
    <x v="0"/>
    <x v="1"/>
    <n v="45"/>
    <s v="No"/>
    <n v="15.64"/>
    <n v="187.08"/>
    <n v="131.28"/>
    <n v="379"/>
    <n v="23"/>
    <s v="2026-06"/>
  </r>
  <r>
    <s v="MS100217"/>
    <d v="2026-07-13T00:00:00"/>
    <x v="2"/>
    <s v="Women's Slippers"/>
    <x v="5"/>
    <x v="9"/>
    <s v="Gujarat"/>
    <n v="1"/>
    <n v="299"/>
    <n v="25"/>
    <n v="224"/>
    <n v="224"/>
    <x v="4"/>
    <x v="1"/>
    <n v="45"/>
    <s v="No"/>
    <n v="13.61"/>
    <n v="109.26"/>
    <n v="56.13"/>
    <n v="224"/>
    <n v="29"/>
    <s v="2026-07"/>
  </r>
  <r>
    <s v="MS100218"/>
    <d v="2026-06-12T00:00:00"/>
    <x v="6"/>
    <s v="Women's Slippers"/>
    <x v="5"/>
    <x v="2"/>
    <s v="Maharashtra"/>
    <n v="1"/>
    <n v="299"/>
    <n v="40"/>
    <n v="179"/>
    <n v="179"/>
    <x v="0"/>
    <x v="1"/>
    <n v="35"/>
    <s v="No"/>
    <n v="7.71"/>
    <n v="82.03"/>
    <n v="54.26"/>
    <n v="179"/>
    <n v="24"/>
    <s v="2026-06"/>
  </r>
  <r>
    <s v="MS100219"/>
    <d v="2026-07-27T00:00:00"/>
    <x v="2"/>
    <s v="Women's Top"/>
    <x v="3"/>
    <x v="9"/>
    <s v="Gujarat"/>
    <n v="1"/>
    <n v="399"/>
    <n v="15"/>
    <n v="339"/>
    <n v="339"/>
    <x v="0"/>
    <x v="1"/>
    <n v="55"/>
    <s v="No"/>
    <n v="20.58"/>
    <n v="154.18"/>
    <n v="109.24"/>
    <n v="339"/>
    <n v="31"/>
    <s v="2026-07"/>
  </r>
  <r>
    <s v="MS100220"/>
    <d v="2026-06-18T00:00:00"/>
    <x v="6"/>
    <s v="Kids Dress"/>
    <x v="1"/>
    <x v="8"/>
    <s v="Telangana"/>
    <n v="1"/>
    <n v="599"/>
    <n v="40"/>
    <n v="359"/>
    <n v="359"/>
    <x v="1"/>
    <x v="0"/>
    <n v="35"/>
    <s v="No"/>
    <n v="22.21"/>
    <n v="180.57"/>
    <n v="121.22"/>
    <n v="359"/>
    <n v="25"/>
    <s v="2026-06"/>
  </r>
  <r>
    <s v="MS100221"/>
    <d v="2026-06-10T00:00:00"/>
    <x v="6"/>
    <s v="Men's T-Shirt"/>
    <x v="2"/>
    <x v="6"/>
    <s v="Uttar Pradesh"/>
    <n v="1"/>
    <n v="449"/>
    <n v="10"/>
    <n v="404"/>
    <n v="404"/>
    <x v="4"/>
    <x v="1"/>
    <n v="35"/>
    <s v="No"/>
    <n v="19.850000000000001"/>
    <n v="179.64"/>
    <n v="169.51"/>
    <n v="404"/>
    <n v="24"/>
    <s v="2026-06"/>
  </r>
  <r>
    <s v="MS100222"/>
    <d v="2026-03-09T00:00:00"/>
    <x v="1"/>
    <s v="Women's Slippers"/>
    <x v="5"/>
    <x v="4"/>
    <s v="Rajasthan"/>
    <n v="1"/>
    <n v="299"/>
    <n v="25"/>
    <n v="224"/>
    <n v="224"/>
    <x v="2"/>
    <x v="1"/>
    <n v="55"/>
    <s v="Yes"/>
    <n v="16"/>
    <n v="116.29"/>
    <n v="36.71"/>
    <n v="224"/>
    <n v="11"/>
    <s v="2026-03"/>
  </r>
  <r>
    <s v="MS100223"/>
    <d v="2026-05-15T00:00:00"/>
    <x v="4"/>
    <s v="Women's Slippers"/>
    <x v="5"/>
    <x v="9"/>
    <s v="Gujarat"/>
    <n v="1"/>
    <n v="299"/>
    <n v="15"/>
    <n v="254"/>
    <n v="254"/>
    <x v="0"/>
    <x v="1"/>
    <n v="45"/>
    <s v="No"/>
    <n v="19.260000000000002"/>
    <n v="128.19999999999999"/>
    <n v="61.54"/>
    <n v="254"/>
    <n v="20"/>
    <s v="2026-05"/>
  </r>
  <r>
    <s v="MS100224"/>
    <d v="2026-07-14T00:00:00"/>
    <x v="2"/>
    <s v="Handbag"/>
    <x v="6"/>
    <x v="8"/>
    <s v="Telangana"/>
    <n v="1"/>
    <n v="549"/>
    <n v="35"/>
    <n v="357"/>
    <n v="357"/>
    <x v="0"/>
    <x v="0"/>
    <n v="55"/>
    <s v="No"/>
    <n v="17.989999999999998"/>
    <n v="162.26"/>
    <n v="121.75"/>
    <n v="357"/>
    <n v="29"/>
    <s v="2026-07"/>
  </r>
  <r>
    <s v="MS100225"/>
    <d v="2026-05-08T00:00:00"/>
    <x v="4"/>
    <s v="Men's T-Shirt"/>
    <x v="2"/>
    <x v="9"/>
    <s v="Gujarat"/>
    <n v="1"/>
    <n v="449"/>
    <n v="35"/>
    <n v="292"/>
    <n v="292"/>
    <x v="3"/>
    <x v="1"/>
    <n v="45"/>
    <s v="No"/>
    <n v="19.739999999999998"/>
    <n v="149.81"/>
    <n v="77.45"/>
    <n v="292"/>
    <n v="19"/>
    <s v="2026-05"/>
  </r>
  <r>
    <s v="MS100226"/>
    <d v="2026-02-02T00:00:00"/>
    <x v="8"/>
    <s v="Kitchen Storage Set"/>
    <x v="4"/>
    <x v="6"/>
    <s v="Uttar Pradesh"/>
    <n v="1"/>
    <n v="499"/>
    <n v="40"/>
    <n v="299"/>
    <n v="299"/>
    <x v="0"/>
    <x v="0"/>
    <n v="55"/>
    <s v="No"/>
    <n v="16.2"/>
    <n v="153.96"/>
    <n v="73.84"/>
    <n v="299"/>
    <n v="6"/>
    <s v="2026-02"/>
  </r>
  <r>
    <s v="MS100227"/>
    <d v="2026-06-25T00:00:00"/>
    <x v="6"/>
    <s v="Leggings"/>
    <x v="3"/>
    <x v="9"/>
    <s v="Gujarat"/>
    <n v="2"/>
    <n v="299"/>
    <n v="30"/>
    <n v="209"/>
    <n v="418"/>
    <x v="0"/>
    <x v="1"/>
    <n v="45"/>
    <s v="No"/>
    <n v="23.96"/>
    <n v="177.4"/>
    <n v="171.64"/>
    <n v="209"/>
    <n v="26"/>
    <s v="2026-06"/>
  </r>
  <r>
    <s v="MS100228"/>
    <d v="2026-01-22T00:00:00"/>
    <x v="3"/>
    <s v="Men's T-Shirt"/>
    <x v="2"/>
    <x v="2"/>
    <s v="Maharashtra"/>
    <n v="1"/>
    <n v="449"/>
    <n v="40"/>
    <n v="269"/>
    <n v="269"/>
    <x v="0"/>
    <x v="1"/>
    <n v="55"/>
    <s v="No"/>
    <n v="13.36"/>
    <n v="138.82"/>
    <n v="61.82"/>
    <n v="269"/>
    <n v="4"/>
    <s v="2026-01"/>
  </r>
  <r>
    <s v="MS100229"/>
    <d v="2026-08-26T00:00:00"/>
    <x v="5"/>
    <s v="Handbag"/>
    <x v="6"/>
    <x v="6"/>
    <s v="Uttar Pradesh"/>
    <n v="1"/>
    <n v="549"/>
    <n v="40"/>
    <n v="329"/>
    <n v="329"/>
    <x v="0"/>
    <x v="1"/>
    <n v="55"/>
    <s v="No"/>
    <n v="19.2"/>
    <n v="168.43"/>
    <n v="86.37"/>
    <n v="329"/>
    <n v="35"/>
    <s v="2026-08"/>
  </r>
  <r>
    <s v="MS100230"/>
    <d v="2026-06-07T00:00:00"/>
    <x v="6"/>
    <s v="Leggings"/>
    <x v="3"/>
    <x v="9"/>
    <s v="Gujarat"/>
    <n v="1"/>
    <n v="299"/>
    <n v="5"/>
    <n v="284"/>
    <n v="284"/>
    <x v="1"/>
    <x v="0"/>
    <n v="35"/>
    <s v="No"/>
    <n v="21.67"/>
    <n v="146.08000000000001"/>
    <n v="81.25"/>
    <n v="284"/>
    <n v="23"/>
    <s v="2026-06"/>
  </r>
  <r>
    <s v="MS100231"/>
    <d v="2026-02-07T00:00:00"/>
    <x v="8"/>
    <s v="Women's Top"/>
    <x v="3"/>
    <x v="0"/>
    <s v="Maharashtra"/>
    <n v="3"/>
    <n v="399"/>
    <n v="20"/>
    <n v="319"/>
    <n v="957"/>
    <x v="1"/>
    <x v="0"/>
    <n v="45"/>
    <s v="No"/>
    <n v="65.78"/>
    <n v="425.61"/>
    <n v="420.61"/>
    <n v="319"/>
    <n v="6"/>
    <s v="2026-02"/>
  </r>
  <r>
    <s v="MS100232"/>
    <d v="2026-08-18T00:00:00"/>
    <x v="5"/>
    <s v="Oxidised Jewellery Set"/>
    <x v="7"/>
    <x v="2"/>
    <s v="Maharashtra"/>
    <n v="1"/>
    <n v="249"/>
    <n v="25"/>
    <n v="187"/>
    <n v="187"/>
    <x v="3"/>
    <x v="0"/>
    <n v="45"/>
    <s v="No"/>
    <n v="11.99"/>
    <n v="94.16"/>
    <n v="35.85"/>
    <n v="187"/>
    <n v="34"/>
    <s v="2026-08"/>
  </r>
  <r>
    <s v="MS100233"/>
    <d v="2026-02-20T00:00:00"/>
    <x v="8"/>
    <s v="Women's Slippers"/>
    <x v="5"/>
    <x v="5"/>
    <s v="Maharashtra"/>
    <n v="2"/>
    <n v="299"/>
    <n v="5"/>
    <n v="284"/>
    <n v="568"/>
    <x v="1"/>
    <x v="1"/>
    <n v="65"/>
    <s v="No"/>
    <n v="41.99"/>
    <n v="279.95999999999998"/>
    <n v="181.05"/>
    <n v="284"/>
    <n v="8"/>
    <s v="2026-02"/>
  </r>
  <r>
    <s v="MS100234"/>
    <d v="2026-09-21T00:00:00"/>
    <x v="7"/>
    <s v="Women's Top"/>
    <x v="3"/>
    <x v="3"/>
    <s v="West Bengal"/>
    <n v="1"/>
    <n v="399"/>
    <n v="35"/>
    <n v="259"/>
    <n v="259"/>
    <x v="0"/>
    <x v="0"/>
    <n v="65"/>
    <s v="No"/>
    <n v="13.35"/>
    <n v="119.08"/>
    <n v="61.57"/>
    <n v="259"/>
    <n v="39"/>
    <s v="2026-09"/>
  </r>
  <r>
    <s v="MS100235"/>
    <d v="2026-01-27T00:00:00"/>
    <x v="3"/>
    <s v="Handbag"/>
    <x v="6"/>
    <x v="2"/>
    <s v="Maharashtra"/>
    <n v="1"/>
    <n v="549"/>
    <n v="30"/>
    <n v="384"/>
    <n v="384"/>
    <x v="0"/>
    <x v="1"/>
    <n v="65"/>
    <s v="No"/>
    <n v="16.75"/>
    <n v="162.53"/>
    <n v="139.72"/>
    <n v="384"/>
    <n v="5"/>
    <s v="2026-01"/>
  </r>
  <r>
    <s v="MS100236"/>
    <d v="2026-08-14T00:00:00"/>
    <x v="5"/>
    <s v="Oxidised Jewellery Set"/>
    <x v="7"/>
    <x v="5"/>
    <s v="Maharashtra"/>
    <n v="1"/>
    <n v="249"/>
    <n v="30"/>
    <n v="174"/>
    <n v="174"/>
    <x v="0"/>
    <x v="0"/>
    <n v="65"/>
    <s v="No"/>
    <n v="10.95"/>
    <n v="80.31"/>
    <n v="17.739999999999998"/>
    <n v="174"/>
    <n v="33"/>
    <s v="2026-08"/>
  </r>
  <r>
    <s v="MS100237"/>
    <d v="2026-04-07T00:00:00"/>
    <x v="0"/>
    <s v="Women Kurti Set"/>
    <x v="3"/>
    <x v="5"/>
    <s v="Maharashtra"/>
    <n v="2"/>
    <n v="699"/>
    <n v="40"/>
    <n v="419"/>
    <n v="838"/>
    <x v="0"/>
    <x v="1"/>
    <n v="55"/>
    <s v="No"/>
    <n v="40.92"/>
    <n v="355.22"/>
    <n v="386.86"/>
    <n v="419"/>
    <n v="15"/>
    <s v="2026-04"/>
  </r>
  <r>
    <s v="MS100238"/>
    <d v="2026-05-27T00:00:00"/>
    <x v="4"/>
    <s v="Women Kurti Set"/>
    <x v="3"/>
    <x v="9"/>
    <s v="Gujarat"/>
    <n v="2"/>
    <n v="699"/>
    <n v="15"/>
    <n v="594"/>
    <n v="1188"/>
    <x v="2"/>
    <x v="1"/>
    <n v="35"/>
    <s v="Yes"/>
    <n v="81.69"/>
    <n v="565.88"/>
    <n v="505.43"/>
    <n v="594"/>
    <n v="22"/>
    <s v="2026-05"/>
  </r>
  <r>
    <s v="MS100239"/>
    <d v="2026-01-04T00:00:00"/>
    <x v="3"/>
    <s v="Women's Slippers"/>
    <x v="5"/>
    <x v="5"/>
    <s v="Maharashtra"/>
    <n v="2"/>
    <n v="299"/>
    <n v="10"/>
    <n v="269"/>
    <n v="538"/>
    <x v="0"/>
    <x v="1"/>
    <n v="55"/>
    <s v="No"/>
    <n v="41.89"/>
    <n v="273.98"/>
    <n v="167.13"/>
    <n v="269"/>
    <n v="1"/>
    <s v="2026-01"/>
  </r>
  <r>
    <s v="MS100240"/>
    <d v="2026-02-04T00:00:00"/>
    <x v="8"/>
    <s v="Bedsheet"/>
    <x v="4"/>
    <x v="4"/>
    <s v="Rajasthan"/>
    <n v="1"/>
    <n v="699"/>
    <n v="20"/>
    <n v="559"/>
    <n v="559"/>
    <x v="0"/>
    <x v="0"/>
    <n v="35"/>
    <s v="No"/>
    <n v="28.07"/>
    <n v="251.31"/>
    <n v="244.62"/>
    <n v="559"/>
    <n v="6"/>
    <s v="2026-02"/>
  </r>
  <r>
    <s v="MS100241"/>
    <d v="2026-07-11T00:00:00"/>
    <x v="2"/>
    <s v="Women's Slippers"/>
    <x v="5"/>
    <x v="3"/>
    <s v="West Bengal"/>
    <n v="1"/>
    <n v="299"/>
    <n v="15"/>
    <n v="254"/>
    <n v="254"/>
    <x v="4"/>
    <x v="0"/>
    <n v="35"/>
    <s v="No"/>
    <n v="14.32"/>
    <n v="127.28"/>
    <n v="77.400000000000006"/>
    <n v="254"/>
    <n v="28"/>
    <s v="2026-07"/>
  </r>
  <r>
    <s v="MS100242"/>
    <d v="2026-02-18T00:00:00"/>
    <x v="8"/>
    <s v="Bedsheet"/>
    <x v="4"/>
    <x v="0"/>
    <s v="Maharashtra"/>
    <n v="2"/>
    <n v="699"/>
    <n v="20"/>
    <n v="559"/>
    <n v="1118"/>
    <x v="1"/>
    <x v="1"/>
    <n v="45"/>
    <s v="No"/>
    <n v="83.89"/>
    <n v="529.83000000000004"/>
    <n v="459.28"/>
    <n v="559"/>
    <n v="8"/>
    <s v="2026-02"/>
  </r>
  <r>
    <s v="MS100243"/>
    <d v="2026-01-17T00:00:00"/>
    <x v="3"/>
    <s v="Oxidised Jewellery Set"/>
    <x v="7"/>
    <x v="8"/>
    <s v="Telangana"/>
    <n v="1"/>
    <n v="249"/>
    <n v="20"/>
    <n v="199"/>
    <n v="199"/>
    <x v="0"/>
    <x v="1"/>
    <n v="35"/>
    <s v="No"/>
    <n v="11.28"/>
    <n v="93.98"/>
    <n v="58.74"/>
    <n v="199"/>
    <n v="3"/>
    <s v="2026-01"/>
  </r>
  <r>
    <s v="MS100244"/>
    <d v="2026-06-21T00:00:00"/>
    <x v="6"/>
    <s v="Makeup Organizer"/>
    <x v="0"/>
    <x v="6"/>
    <s v="Uttar Pradesh"/>
    <n v="1"/>
    <n v="349"/>
    <n v="15"/>
    <n v="297"/>
    <n v="297"/>
    <x v="0"/>
    <x v="1"/>
    <n v="55"/>
    <s v="No"/>
    <n v="22.37"/>
    <n v="126.28"/>
    <n v="93.35"/>
    <n v="297"/>
    <n v="25"/>
    <s v="2026-06"/>
  </r>
  <r>
    <s v="MS100245"/>
    <d v="2026-08-08T00:00:00"/>
    <x v="5"/>
    <s v="Women's Slippers"/>
    <x v="5"/>
    <x v="9"/>
    <s v="Gujarat"/>
    <n v="1"/>
    <n v="299"/>
    <n v="25"/>
    <n v="224"/>
    <n v="224"/>
    <x v="0"/>
    <x v="1"/>
    <n v="35"/>
    <s v="No"/>
    <n v="12.75"/>
    <n v="100.87"/>
    <n v="75.38"/>
    <n v="224"/>
    <n v="32"/>
    <s v="2026-08"/>
  </r>
  <r>
    <s v="MS100246"/>
    <d v="2026-06-07T00:00:00"/>
    <x v="6"/>
    <s v="Kitchen Storage Set"/>
    <x v="4"/>
    <x v="7"/>
    <s v="Delhi"/>
    <n v="1"/>
    <n v="499"/>
    <n v="20"/>
    <n v="399"/>
    <n v="399"/>
    <x v="4"/>
    <x v="0"/>
    <n v="45"/>
    <s v="No"/>
    <n v="22.44"/>
    <n v="176.38"/>
    <n v="155.18"/>
    <n v="399"/>
    <n v="23"/>
    <s v="2026-06"/>
  </r>
  <r>
    <s v="MS100247"/>
    <d v="2026-02-15T00:00:00"/>
    <x v="8"/>
    <s v="Leggings"/>
    <x v="3"/>
    <x v="8"/>
    <s v="Telangana"/>
    <n v="1"/>
    <n v="299"/>
    <n v="20"/>
    <n v="239"/>
    <n v="239"/>
    <x v="0"/>
    <x v="0"/>
    <n v="45"/>
    <s v="No"/>
    <n v="16.34"/>
    <n v="104.38"/>
    <n v="73.28"/>
    <n v="239"/>
    <n v="7"/>
    <s v="2026-02"/>
  </r>
  <r>
    <s v="MS100248"/>
    <d v="2026-01-06T00:00:00"/>
    <x v="3"/>
    <s v="Kitchen Storage Set"/>
    <x v="4"/>
    <x v="2"/>
    <s v="Maharashtra"/>
    <n v="3"/>
    <n v="499"/>
    <n v="5"/>
    <n v="474"/>
    <n v="1422"/>
    <x v="0"/>
    <x v="1"/>
    <n v="65"/>
    <s v="No"/>
    <n v="110.87"/>
    <n v="687.13"/>
    <n v="559"/>
    <n v="474"/>
    <n v="2"/>
    <s v="2026-01"/>
  </r>
  <r>
    <s v="MS100249"/>
    <d v="2026-04-09T00:00:00"/>
    <x v="0"/>
    <s v="Women's Top"/>
    <x v="3"/>
    <x v="9"/>
    <s v="Gujarat"/>
    <n v="2"/>
    <n v="399"/>
    <n v="25"/>
    <n v="299"/>
    <n v="598"/>
    <x v="0"/>
    <x v="0"/>
    <n v="35"/>
    <s v="No"/>
    <n v="46.24"/>
    <n v="300.64"/>
    <n v="216.12"/>
    <n v="299"/>
    <n v="15"/>
    <s v="2026-04"/>
  </r>
  <r>
    <s v="MS100250"/>
    <d v="2026-08-21T00:00:00"/>
    <x v="5"/>
    <s v="Oxidised Jewellery Set"/>
    <x v="7"/>
    <x v="9"/>
    <s v="Gujarat"/>
    <n v="2"/>
    <n v="249"/>
    <n v="25"/>
    <n v="187"/>
    <n v="374"/>
    <x v="3"/>
    <x v="1"/>
    <n v="45"/>
    <s v="No"/>
    <n v="20.12"/>
    <n v="158.22999999999999"/>
    <n v="150.65"/>
    <n v="187"/>
    <n v="34"/>
    <s v="2026-08"/>
  </r>
  <r>
    <s v="MS100251"/>
    <d v="2026-02-06T00:00:00"/>
    <x v="8"/>
    <s v="Kitchen Storage Set"/>
    <x v="4"/>
    <x v="9"/>
    <s v="Gujarat"/>
    <n v="1"/>
    <n v="499"/>
    <n v="40"/>
    <n v="299"/>
    <n v="299"/>
    <x v="1"/>
    <x v="1"/>
    <n v="55"/>
    <s v="No"/>
    <n v="21.11"/>
    <n v="145.63999999999999"/>
    <n v="77.25"/>
    <n v="299"/>
    <n v="6"/>
    <s v="2026-02"/>
  </r>
  <r>
    <s v="MS100252"/>
    <d v="2026-06-30T00:00:00"/>
    <x v="6"/>
    <s v="Women Kurti Set"/>
    <x v="3"/>
    <x v="2"/>
    <s v="Maharashtra"/>
    <n v="1"/>
    <n v="699"/>
    <n v="10"/>
    <n v="629"/>
    <n v="629"/>
    <x v="3"/>
    <x v="0"/>
    <n v="65"/>
    <s v="No"/>
    <n v="47.97"/>
    <n v="265.19"/>
    <n v="250.84"/>
    <n v="629"/>
    <n v="27"/>
    <s v="2026-06"/>
  </r>
  <r>
    <s v="MS100253"/>
    <d v="2026-04-05T00:00:00"/>
    <x v="0"/>
    <s v="Handbag"/>
    <x v="6"/>
    <x v="6"/>
    <s v="Uttar Pradesh"/>
    <n v="2"/>
    <n v="549"/>
    <n v="25"/>
    <n v="412"/>
    <n v="824"/>
    <x v="1"/>
    <x v="0"/>
    <n v="55"/>
    <s v="No"/>
    <n v="40.700000000000003"/>
    <n v="404.16"/>
    <n v="324.14"/>
    <n v="412"/>
    <n v="14"/>
    <s v="2026-04"/>
  </r>
  <r>
    <s v="MS100254"/>
    <d v="2026-04-09T00:00:00"/>
    <x v="0"/>
    <s v="Kitchen Storage Set"/>
    <x v="4"/>
    <x v="2"/>
    <s v="Maharashtra"/>
    <n v="3"/>
    <n v="499"/>
    <n v="5"/>
    <n v="474"/>
    <n v="1422"/>
    <x v="0"/>
    <x v="0"/>
    <n v="55"/>
    <s v="No"/>
    <n v="84.31"/>
    <n v="614.09"/>
    <n v="668.6"/>
    <n v="474"/>
    <n v="15"/>
    <s v="2026-04"/>
  </r>
  <r>
    <s v="MS100255"/>
    <d v="2026-07-07T00:00:00"/>
    <x v="2"/>
    <s v="Handbag"/>
    <x v="6"/>
    <x v="7"/>
    <s v="Delhi"/>
    <n v="1"/>
    <n v="549"/>
    <n v="10"/>
    <n v="494"/>
    <n v="494"/>
    <x v="1"/>
    <x v="1"/>
    <n v="65"/>
    <s v="No"/>
    <n v="33.14"/>
    <n v="238.36"/>
    <n v="157.5"/>
    <n v="494"/>
    <n v="28"/>
    <s v="2026-07"/>
  </r>
  <r>
    <s v="MS100256"/>
    <d v="2026-04-26T00:00:00"/>
    <x v="0"/>
    <s v="Leggings"/>
    <x v="3"/>
    <x v="7"/>
    <s v="Delhi"/>
    <n v="1"/>
    <n v="299"/>
    <n v="10"/>
    <n v="269"/>
    <n v="269"/>
    <x v="0"/>
    <x v="0"/>
    <n v="55"/>
    <s v="No"/>
    <n v="16.91"/>
    <n v="135.38"/>
    <n v="61.71"/>
    <n v="269"/>
    <n v="17"/>
    <s v="2026-04"/>
  </r>
  <r>
    <s v="MS100257"/>
    <d v="2026-07-10T00:00:00"/>
    <x v="2"/>
    <s v="Printed Saree"/>
    <x v="3"/>
    <x v="1"/>
    <s v="Karnataka"/>
    <n v="1"/>
    <n v="899"/>
    <n v="5"/>
    <n v="854"/>
    <n v="854"/>
    <x v="0"/>
    <x v="1"/>
    <n v="45"/>
    <s v="No"/>
    <n v="47.51"/>
    <n v="375.03"/>
    <n v="386.46"/>
    <n v="854"/>
    <n v="28"/>
    <s v="2026-07"/>
  </r>
  <r>
    <s v="MS100258"/>
    <d v="2026-09-10T00:00:00"/>
    <x v="7"/>
    <s v="Leggings"/>
    <x v="3"/>
    <x v="2"/>
    <s v="Maharashtra"/>
    <n v="1"/>
    <n v="299"/>
    <n v="35"/>
    <n v="194"/>
    <n v="194"/>
    <x v="0"/>
    <x v="1"/>
    <n v="65"/>
    <s v="No"/>
    <n v="13.84"/>
    <n v="87.02"/>
    <n v="28.14"/>
    <n v="194"/>
    <n v="37"/>
    <s v="2026-09"/>
  </r>
  <r>
    <s v="MS100259"/>
    <d v="2026-06-10T00:00:00"/>
    <x v="6"/>
    <s v="Handbag"/>
    <x v="6"/>
    <x v="9"/>
    <s v="Gujarat"/>
    <n v="1"/>
    <n v="549"/>
    <n v="5"/>
    <n v="522"/>
    <n v="522"/>
    <x v="0"/>
    <x v="0"/>
    <n v="65"/>
    <s v="No"/>
    <n v="41.39"/>
    <n v="260.20999999999998"/>
    <n v="155.4"/>
    <n v="522"/>
    <n v="24"/>
    <s v="2026-06"/>
  </r>
  <r>
    <s v="MS100260"/>
    <d v="2026-09-13T00:00:00"/>
    <x v="7"/>
    <s v="Oxidised Jewellery Set"/>
    <x v="7"/>
    <x v="4"/>
    <s v="Rajasthan"/>
    <n v="1"/>
    <n v="249"/>
    <n v="30"/>
    <n v="174"/>
    <n v="174"/>
    <x v="0"/>
    <x v="0"/>
    <n v="35"/>
    <s v="No"/>
    <n v="9.2200000000000006"/>
    <n v="89.46"/>
    <n v="40.32"/>
    <n v="174"/>
    <n v="37"/>
    <s v="2026-09"/>
  </r>
  <r>
    <s v="MS100261"/>
    <d v="2026-05-08T00:00:00"/>
    <x v="4"/>
    <s v="Men's T-Shirt"/>
    <x v="2"/>
    <x v="5"/>
    <s v="Maharashtra"/>
    <n v="1"/>
    <n v="449"/>
    <n v="40"/>
    <n v="269"/>
    <n v="269"/>
    <x v="0"/>
    <x v="0"/>
    <n v="45"/>
    <s v="No"/>
    <n v="11.98"/>
    <n v="123.84"/>
    <n v="88.18"/>
    <n v="269"/>
    <n v="19"/>
    <s v="2026-05"/>
  </r>
  <r>
    <s v="MS100262"/>
    <d v="2026-01-18T00:00:00"/>
    <x v="3"/>
    <s v="Makeup Organizer"/>
    <x v="0"/>
    <x v="1"/>
    <s v="Karnataka"/>
    <n v="1"/>
    <n v="349"/>
    <n v="15"/>
    <n v="297"/>
    <n v="297"/>
    <x v="0"/>
    <x v="0"/>
    <n v="55"/>
    <s v="No"/>
    <n v="19.07"/>
    <n v="140.09"/>
    <n v="82.84"/>
    <n v="297"/>
    <n v="3"/>
    <s v="2026-01"/>
  </r>
  <r>
    <s v="MS100263"/>
    <d v="2026-08-11T00:00:00"/>
    <x v="5"/>
    <s v="Printed Saree"/>
    <x v="3"/>
    <x v="6"/>
    <s v="Uttar Pradesh"/>
    <n v="1"/>
    <n v="899"/>
    <n v="40"/>
    <n v="539"/>
    <n v="539"/>
    <x v="0"/>
    <x v="1"/>
    <n v="55"/>
    <s v="No"/>
    <n v="25.27"/>
    <n v="276.27"/>
    <n v="182.46"/>
    <n v="539"/>
    <n v="33"/>
    <s v="2026-08"/>
  </r>
  <r>
    <s v="MS100264"/>
    <d v="2026-02-23T00:00:00"/>
    <x v="8"/>
    <s v="Kitchen Storage Set"/>
    <x v="4"/>
    <x v="9"/>
    <s v="Gujarat"/>
    <n v="1"/>
    <n v="499"/>
    <n v="20"/>
    <n v="399"/>
    <n v="399"/>
    <x v="0"/>
    <x v="0"/>
    <n v="45"/>
    <s v="No"/>
    <n v="20.23"/>
    <n v="168.18"/>
    <n v="165.59"/>
    <n v="399"/>
    <n v="9"/>
    <s v="2026-02"/>
  </r>
  <r>
    <s v="MS100265"/>
    <d v="2026-02-27T00:00:00"/>
    <x v="8"/>
    <s v="Kids Dress"/>
    <x v="1"/>
    <x v="5"/>
    <s v="Maharashtra"/>
    <n v="1"/>
    <n v="599"/>
    <n v="25"/>
    <n v="449"/>
    <n v="449"/>
    <x v="0"/>
    <x v="0"/>
    <n v="55"/>
    <s v="No"/>
    <n v="22.83"/>
    <n v="215.42"/>
    <n v="155.75"/>
    <n v="449"/>
    <n v="9"/>
    <s v="2026-02"/>
  </r>
  <r>
    <s v="MS100266"/>
    <d v="2026-06-23T00:00:00"/>
    <x v="6"/>
    <s v="Women Kurti Set"/>
    <x v="3"/>
    <x v="7"/>
    <s v="Delhi"/>
    <n v="1"/>
    <n v="699"/>
    <n v="10"/>
    <n v="629"/>
    <n v="629"/>
    <x v="2"/>
    <x v="0"/>
    <n v="45"/>
    <s v="Yes"/>
    <n v="48.79"/>
    <n v="264.60000000000002"/>
    <n v="270.61"/>
    <n v="629"/>
    <n v="26"/>
    <s v="2026-06"/>
  </r>
  <r>
    <s v="MS100267"/>
    <d v="2026-04-24T00:00:00"/>
    <x v="0"/>
    <s v="Bedsheet"/>
    <x v="4"/>
    <x v="0"/>
    <s v="Maharashtra"/>
    <n v="1"/>
    <n v="699"/>
    <n v="5"/>
    <n v="664"/>
    <n v="664"/>
    <x v="0"/>
    <x v="1"/>
    <n v="35"/>
    <s v="No"/>
    <n v="42.04"/>
    <n v="295.69"/>
    <n v="291.27"/>
    <n v="664"/>
    <n v="17"/>
    <s v="2026-04"/>
  </r>
  <r>
    <s v="MS100268"/>
    <d v="2026-05-31T00:00:00"/>
    <x v="4"/>
    <s v="Women Kurti Set"/>
    <x v="3"/>
    <x v="5"/>
    <s v="Maharashtra"/>
    <n v="1"/>
    <n v="699"/>
    <n v="30"/>
    <n v="489"/>
    <n v="489"/>
    <x v="0"/>
    <x v="1"/>
    <n v="65"/>
    <s v="No"/>
    <n v="23.76"/>
    <n v="237.9"/>
    <n v="162.34"/>
    <n v="489"/>
    <n v="22"/>
    <s v="2026-05"/>
  </r>
  <r>
    <s v="MS100269"/>
    <d v="2026-05-07T00:00:00"/>
    <x v="4"/>
    <s v="Kids Dress"/>
    <x v="1"/>
    <x v="9"/>
    <s v="Gujarat"/>
    <n v="1"/>
    <n v="599"/>
    <n v="35"/>
    <n v="389"/>
    <n v="389"/>
    <x v="0"/>
    <x v="1"/>
    <n v="35"/>
    <s v="No"/>
    <n v="22.31"/>
    <n v="173.44"/>
    <n v="158.25"/>
    <n v="389"/>
    <n v="19"/>
    <s v="2026-05"/>
  </r>
  <r>
    <s v="MS100270"/>
    <d v="2026-06-04T00:00:00"/>
    <x v="6"/>
    <s v="Kitchen Storage Set"/>
    <x v="4"/>
    <x v="5"/>
    <s v="Maharashtra"/>
    <n v="3"/>
    <n v="499"/>
    <n v="15"/>
    <n v="424"/>
    <n v="1272"/>
    <x v="0"/>
    <x v="1"/>
    <n v="35"/>
    <s v="No"/>
    <n v="63.19"/>
    <n v="625.07000000000005"/>
    <n v="548.74"/>
    <n v="424"/>
    <n v="23"/>
    <s v="2026-06"/>
  </r>
  <r>
    <s v="MS100271"/>
    <d v="2026-04-14T00:00:00"/>
    <x v="0"/>
    <s v="Women Kurti Set"/>
    <x v="3"/>
    <x v="8"/>
    <s v="Telangana"/>
    <n v="2"/>
    <n v="699"/>
    <n v="30"/>
    <n v="489"/>
    <n v="978"/>
    <x v="0"/>
    <x v="1"/>
    <n v="55"/>
    <s v="No"/>
    <n v="53.05"/>
    <n v="412.31"/>
    <n v="457.64"/>
    <n v="489"/>
    <n v="16"/>
    <s v="2026-04"/>
  </r>
  <r>
    <s v="MS100272"/>
    <d v="2026-09-03T00:00:00"/>
    <x v="7"/>
    <s v="Printed Saree"/>
    <x v="3"/>
    <x v="6"/>
    <s v="Uttar Pradesh"/>
    <n v="1"/>
    <n v="899"/>
    <n v="20"/>
    <n v="719"/>
    <n v="719"/>
    <x v="0"/>
    <x v="0"/>
    <n v="35"/>
    <s v="No"/>
    <n v="48.11"/>
    <n v="307.81"/>
    <n v="328.08"/>
    <n v="719"/>
    <n v="36"/>
    <s v="2026-09"/>
  </r>
  <r>
    <s v="MS100273"/>
    <d v="2026-06-25T00:00:00"/>
    <x v="6"/>
    <s v="Makeup Organizer"/>
    <x v="0"/>
    <x v="0"/>
    <s v="Maharashtra"/>
    <n v="2"/>
    <n v="349"/>
    <n v="30"/>
    <n v="244"/>
    <n v="488"/>
    <x v="2"/>
    <x v="1"/>
    <n v="35"/>
    <s v="Yes"/>
    <n v="34.880000000000003"/>
    <n v="224.36"/>
    <n v="193.76"/>
    <n v="244"/>
    <n v="26"/>
    <s v="2026-06"/>
  </r>
  <r>
    <s v="MS100274"/>
    <d v="2026-02-08T00:00:00"/>
    <x v="8"/>
    <s v="Oxidised Jewellery Set"/>
    <x v="7"/>
    <x v="6"/>
    <s v="Uttar Pradesh"/>
    <n v="3"/>
    <n v="249"/>
    <n v="15"/>
    <n v="212"/>
    <n v="636"/>
    <x v="3"/>
    <x v="1"/>
    <n v="35"/>
    <s v="No"/>
    <n v="48.86"/>
    <n v="304.29000000000002"/>
    <n v="247.85"/>
    <n v="212"/>
    <n v="6"/>
    <s v="2026-02"/>
  </r>
  <r>
    <s v="MS100275"/>
    <d v="2026-06-19T00:00:00"/>
    <x v="6"/>
    <s v="Women Kurti Set"/>
    <x v="3"/>
    <x v="2"/>
    <s v="Maharashtra"/>
    <n v="2"/>
    <n v="699"/>
    <n v="25"/>
    <n v="524"/>
    <n v="1048"/>
    <x v="3"/>
    <x v="0"/>
    <n v="35"/>
    <s v="No"/>
    <n v="59.16"/>
    <n v="531.73"/>
    <n v="422.11"/>
    <n v="524"/>
    <n v="25"/>
    <s v="2026-06"/>
  </r>
  <r>
    <s v="MS100276"/>
    <d v="2026-09-04T00:00:00"/>
    <x v="7"/>
    <s v="Leggings"/>
    <x v="3"/>
    <x v="5"/>
    <s v="Maharashtra"/>
    <n v="1"/>
    <n v="299"/>
    <n v="20"/>
    <n v="239"/>
    <n v="239"/>
    <x v="0"/>
    <x v="1"/>
    <n v="55"/>
    <s v="No"/>
    <n v="10.17"/>
    <n v="120.09"/>
    <n v="53.74"/>
    <n v="239"/>
    <n v="36"/>
    <s v="2026-09"/>
  </r>
  <r>
    <s v="MS100277"/>
    <d v="2026-01-26T00:00:00"/>
    <x v="3"/>
    <s v="Kids Dress"/>
    <x v="1"/>
    <x v="5"/>
    <s v="Maharashtra"/>
    <n v="1"/>
    <n v="599"/>
    <n v="15"/>
    <n v="509"/>
    <n v="509"/>
    <x v="0"/>
    <x v="1"/>
    <n v="35"/>
    <s v="No"/>
    <n v="29.92"/>
    <n v="215.22"/>
    <n v="228.86"/>
    <n v="509"/>
    <n v="5"/>
    <s v="2026-01"/>
  </r>
  <r>
    <s v="MS100278"/>
    <d v="2026-01-13T00:00:00"/>
    <x v="3"/>
    <s v="Women Kurti Set"/>
    <x v="3"/>
    <x v="4"/>
    <s v="Rajasthan"/>
    <n v="1"/>
    <n v="699"/>
    <n v="5"/>
    <n v="664"/>
    <n v="664"/>
    <x v="0"/>
    <x v="1"/>
    <n v="45"/>
    <s v="No"/>
    <n v="30.8"/>
    <n v="289.52999999999997"/>
    <n v="298.67"/>
    <n v="664"/>
    <n v="3"/>
    <s v="2026-01"/>
  </r>
  <r>
    <s v="MS100279"/>
    <d v="2026-02-05T00:00:00"/>
    <x v="8"/>
    <s v="Makeup Organizer"/>
    <x v="0"/>
    <x v="8"/>
    <s v="Telangana"/>
    <n v="2"/>
    <n v="349"/>
    <n v="25"/>
    <n v="262"/>
    <n v="524"/>
    <x v="1"/>
    <x v="1"/>
    <n v="55"/>
    <s v="No"/>
    <n v="23.27"/>
    <n v="235.23"/>
    <n v="210.5"/>
    <n v="262"/>
    <n v="6"/>
    <s v="2026-02"/>
  </r>
  <r>
    <s v="MS100280"/>
    <d v="2026-06-22T00:00:00"/>
    <x v="6"/>
    <s v="Women's Slippers"/>
    <x v="5"/>
    <x v="6"/>
    <s v="Uttar Pradesh"/>
    <n v="1"/>
    <n v="299"/>
    <n v="15"/>
    <n v="254"/>
    <n v="254"/>
    <x v="3"/>
    <x v="1"/>
    <n v="45"/>
    <s v="No"/>
    <n v="18.579999999999998"/>
    <n v="126.73"/>
    <n v="63.69"/>
    <n v="254"/>
    <n v="26"/>
    <s v="2026-06"/>
  </r>
  <r>
    <s v="MS100281"/>
    <d v="2026-01-20T00:00:00"/>
    <x v="3"/>
    <s v="Oxidised Jewellery Set"/>
    <x v="7"/>
    <x v="8"/>
    <s v="Telangana"/>
    <n v="1"/>
    <n v="249"/>
    <n v="20"/>
    <n v="199"/>
    <n v="199"/>
    <x v="0"/>
    <x v="0"/>
    <n v="55"/>
    <s v="No"/>
    <n v="9.8000000000000007"/>
    <n v="89.92"/>
    <n v="44.28"/>
    <n v="199"/>
    <n v="4"/>
    <s v="2026-01"/>
  </r>
  <r>
    <s v="MS100282"/>
    <d v="2026-09-21T00:00:00"/>
    <x v="7"/>
    <s v="Leggings"/>
    <x v="3"/>
    <x v="7"/>
    <s v="Delhi"/>
    <n v="2"/>
    <n v="299"/>
    <n v="15"/>
    <n v="254"/>
    <n v="508"/>
    <x v="0"/>
    <x v="0"/>
    <n v="35"/>
    <s v="No"/>
    <n v="34.08"/>
    <n v="255.93"/>
    <n v="182.99"/>
    <n v="254"/>
    <n v="39"/>
    <s v="2026-09"/>
  </r>
  <r>
    <s v="MS100283"/>
    <d v="2026-05-22T00:00:00"/>
    <x v="4"/>
    <s v="Handbag"/>
    <x v="6"/>
    <x v="3"/>
    <s v="West Bengal"/>
    <n v="1"/>
    <n v="549"/>
    <n v="15"/>
    <n v="467"/>
    <n v="467"/>
    <x v="0"/>
    <x v="1"/>
    <n v="55"/>
    <s v="No"/>
    <n v="22.03"/>
    <n v="228.55"/>
    <n v="161.41999999999999"/>
    <n v="467"/>
    <n v="21"/>
    <s v="2026-05"/>
  </r>
  <r>
    <s v="MS100284"/>
    <d v="2026-05-23T00:00:00"/>
    <x v="4"/>
    <s v="Oxidised Jewellery Set"/>
    <x v="7"/>
    <x v="2"/>
    <s v="Maharashtra"/>
    <n v="2"/>
    <n v="249"/>
    <n v="35"/>
    <n v="162"/>
    <n v="324"/>
    <x v="0"/>
    <x v="1"/>
    <n v="65"/>
    <s v="No"/>
    <n v="19.63"/>
    <n v="141.31"/>
    <n v="98.06"/>
    <n v="162"/>
    <n v="21"/>
    <s v="2026-05"/>
  </r>
  <r>
    <s v="MS100285"/>
    <d v="2026-04-02T00:00:00"/>
    <x v="0"/>
    <s v="Women Kurti Set"/>
    <x v="3"/>
    <x v="5"/>
    <s v="Maharashtra"/>
    <n v="2"/>
    <n v="699"/>
    <n v="10"/>
    <n v="629"/>
    <n v="1258"/>
    <x v="0"/>
    <x v="0"/>
    <n v="55"/>
    <s v="No"/>
    <n v="61.51"/>
    <n v="593.67999999999995"/>
    <n v="547.80999999999995"/>
    <n v="629"/>
    <n v="14"/>
    <s v="2026-04"/>
  </r>
  <r>
    <s v="MS100286"/>
    <d v="2026-08-03T00:00:00"/>
    <x v="5"/>
    <s v="Oxidised Jewellery Set"/>
    <x v="7"/>
    <x v="4"/>
    <s v="Rajasthan"/>
    <n v="1"/>
    <n v="249"/>
    <n v="15"/>
    <n v="212"/>
    <n v="212"/>
    <x v="0"/>
    <x v="1"/>
    <n v="45"/>
    <s v="No"/>
    <n v="16.62"/>
    <n v="102.11"/>
    <n v="48.27"/>
    <n v="212"/>
    <n v="32"/>
    <s v="2026-08"/>
  </r>
  <r>
    <s v="MS100287"/>
    <d v="2026-02-20T00:00:00"/>
    <x v="8"/>
    <s v="Women Kurti Set"/>
    <x v="3"/>
    <x v="2"/>
    <s v="Maharashtra"/>
    <n v="1"/>
    <n v="699"/>
    <n v="25"/>
    <n v="524"/>
    <n v="524"/>
    <x v="3"/>
    <x v="1"/>
    <n v="35"/>
    <s v="No"/>
    <n v="25.23"/>
    <n v="237.24"/>
    <n v="226.53"/>
    <n v="524"/>
    <n v="8"/>
    <s v="2026-02"/>
  </r>
  <r>
    <s v="MS100288"/>
    <d v="2026-06-02T00:00:00"/>
    <x v="6"/>
    <s v="Women Kurti Set"/>
    <x v="3"/>
    <x v="0"/>
    <s v="Maharashtra"/>
    <n v="1"/>
    <n v="699"/>
    <n v="40"/>
    <n v="419"/>
    <n v="419"/>
    <x v="3"/>
    <x v="1"/>
    <n v="35"/>
    <s v="No"/>
    <n v="18.72"/>
    <n v="190.11"/>
    <n v="175.17"/>
    <n v="419"/>
    <n v="23"/>
    <s v="2026-06"/>
  </r>
  <r>
    <s v="MS100289"/>
    <d v="2026-07-05T00:00:00"/>
    <x v="2"/>
    <s v="Makeup Organizer"/>
    <x v="0"/>
    <x v="2"/>
    <s v="Maharashtra"/>
    <n v="1"/>
    <n v="349"/>
    <n v="20"/>
    <n v="279"/>
    <n v="279"/>
    <x v="4"/>
    <x v="0"/>
    <n v="55"/>
    <s v="No"/>
    <n v="19.79"/>
    <n v="143.72999999999999"/>
    <n v="60.48"/>
    <n v="279"/>
    <n v="27"/>
    <s v="2026-07"/>
  </r>
  <r>
    <s v="MS100290"/>
    <d v="2026-03-04T00:00:00"/>
    <x v="1"/>
    <s v="Women Kurti Set"/>
    <x v="3"/>
    <x v="3"/>
    <s v="West Bengal"/>
    <n v="1"/>
    <n v="699"/>
    <n v="20"/>
    <n v="559"/>
    <n v="559"/>
    <x v="4"/>
    <x v="1"/>
    <n v="55"/>
    <s v="No"/>
    <n v="37.76"/>
    <n v="248.94"/>
    <n v="217.3"/>
    <n v="559"/>
    <n v="10"/>
    <s v="2026-03"/>
  </r>
  <r>
    <s v="MS100291"/>
    <d v="2026-07-09T00:00:00"/>
    <x v="2"/>
    <s v="Women's Slippers"/>
    <x v="5"/>
    <x v="3"/>
    <s v="West Bengal"/>
    <n v="1"/>
    <n v="299"/>
    <n v="30"/>
    <n v="209"/>
    <n v="209"/>
    <x v="1"/>
    <x v="1"/>
    <n v="65"/>
    <s v="No"/>
    <n v="10.06"/>
    <n v="90.44"/>
    <n v="43.5"/>
    <n v="209"/>
    <n v="28"/>
    <s v="2026-07"/>
  </r>
  <r>
    <s v="MS100292"/>
    <d v="2026-05-05T00:00:00"/>
    <x v="4"/>
    <s v="Oxidised Jewellery Set"/>
    <x v="7"/>
    <x v="7"/>
    <s v="Delhi"/>
    <n v="2"/>
    <n v="249"/>
    <n v="20"/>
    <n v="199"/>
    <n v="398"/>
    <x v="0"/>
    <x v="0"/>
    <n v="55"/>
    <s v="No"/>
    <n v="17.13"/>
    <n v="182.6"/>
    <n v="143.27000000000001"/>
    <n v="199"/>
    <n v="19"/>
    <s v="2026-05"/>
  </r>
  <r>
    <s v="MS100293"/>
    <d v="2026-05-30T00:00:00"/>
    <x v="4"/>
    <s v="Handbag"/>
    <x v="6"/>
    <x v="0"/>
    <s v="Maharashtra"/>
    <n v="1"/>
    <n v="549"/>
    <n v="35"/>
    <n v="357"/>
    <n v="357"/>
    <x v="0"/>
    <x v="1"/>
    <n v="35"/>
    <s v="No"/>
    <n v="24.89"/>
    <n v="180.21"/>
    <n v="116.9"/>
    <n v="357"/>
    <n v="22"/>
    <s v="2026-05"/>
  </r>
  <r>
    <s v="MS100294"/>
    <d v="2026-02-27T00:00:00"/>
    <x v="8"/>
    <s v="Women Kurti Set"/>
    <x v="3"/>
    <x v="0"/>
    <s v="Maharashtra"/>
    <n v="1"/>
    <n v="699"/>
    <n v="30"/>
    <n v="489"/>
    <n v="489"/>
    <x v="0"/>
    <x v="1"/>
    <n v="65"/>
    <s v="No"/>
    <n v="38"/>
    <n v="207.47"/>
    <n v="178.53"/>
    <n v="489"/>
    <n v="9"/>
    <s v="2026-02"/>
  </r>
  <r>
    <s v="MS100295"/>
    <d v="2026-06-29T00:00:00"/>
    <x v="6"/>
    <s v="Handbag"/>
    <x v="6"/>
    <x v="9"/>
    <s v="Gujarat"/>
    <n v="1"/>
    <n v="549"/>
    <n v="25"/>
    <n v="412"/>
    <n v="412"/>
    <x v="3"/>
    <x v="0"/>
    <n v="65"/>
    <s v="No"/>
    <n v="24.13"/>
    <n v="202.82"/>
    <n v="120.05"/>
    <n v="412"/>
    <n v="27"/>
    <s v="2026-06"/>
  </r>
  <r>
    <s v="MS100296"/>
    <d v="2026-06-19T00:00:00"/>
    <x v="6"/>
    <s v="Kids Dress"/>
    <x v="1"/>
    <x v="0"/>
    <s v="Maharashtra"/>
    <n v="1"/>
    <n v="599"/>
    <n v="20"/>
    <n v="479"/>
    <n v="479"/>
    <x v="0"/>
    <x v="1"/>
    <n v="65"/>
    <s v="No"/>
    <n v="20.99"/>
    <n v="206.15"/>
    <n v="186.86"/>
    <n v="479"/>
    <n v="25"/>
    <s v="2026-06"/>
  </r>
  <r>
    <s v="MS100297"/>
    <d v="2026-02-23T00:00:00"/>
    <x v="8"/>
    <s v="Bedsheet"/>
    <x v="4"/>
    <x v="6"/>
    <s v="Uttar Pradesh"/>
    <n v="1"/>
    <n v="699"/>
    <n v="20"/>
    <n v="559"/>
    <n v="559"/>
    <x v="0"/>
    <x v="1"/>
    <n v="45"/>
    <s v="No"/>
    <n v="40.32"/>
    <n v="263.74"/>
    <n v="209.94"/>
    <n v="559"/>
    <n v="9"/>
    <s v="2026-02"/>
  </r>
  <r>
    <s v="MS100298"/>
    <d v="2026-04-11T00:00:00"/>
    <x v="0"/>
    <s v="Women's Top"/>
    <x v="3"/>
    <x v="7"/>
    <s v="Delhi"/>
    <n v="1"/>
    <n v="399"/>
    <n v="30"/>
    <n v="279"/>
    <n v="279"/>
    <x v="0"/>
    <x v="1"/>
    <n v="35"/>
    <s v="No"/>
    <n v="15.03"/>
    <n v="128.08000000000001"/>
    <n v="100.89"/>
    <n v="279"/>
    <n v="15"/>
    <s v="2026-04"/>
  </r>
  <r>
    <s v="MS100299"/>
    <d v="2026-09-21T00:00:00"/>
    <x v="7"/>
    <s v="Oxidised Jewellery Set"/>
    <x v="7"/>
    <x v="7"/>
    <s v="Delhi"/>
    <n v="1"/>
    <n v="249"/>
    <n v="30"/>
    <n v="174"/>
    <n v="174"/>
    <x v="1"/>
    <x v="1"/>
    <n v="35"/>
    <s v="No"/>
    <n v="11.36"/>
    <n v="75.8"/>
    <n v="51.84"/>
    <n v="174"/>
    <n v="39"/>
    <s v="2026-09"/>
  </r>
  <r>
    <s v="MS100300"/>
    <d v="2026-02-22T00:00:00"/>
    <x v="8"/>
    <s v="Kids Dress"/>
    <x v="1"/>
    <x v="9"/>
    <s v="Gujarat"/>
    <n v="1"/>
    <n v="599"/>
    <n v="25"/>
    <n v="449"/>
    <n v="449"/>
    <x v="0"/>
    <x v="0"/>
    <n v="35"/>
    <s v="No"/>
    <n v="21.82"/>
    <n v="207.66"/>
    <n v="184.52"/>
    <n v="449"/>
    <n v="8"/>
    <s v="2026-02"/>
  </r>
  <r>
    <s v="MS100301"/>
    <d v="2026-03-01T00:00:00"/>
    <x v="1"/>
    <s v="Women's Slippers"/>
    <x v="5"/>
    <x v="2"/>
    <s v="Maharashtra"/>
    <n v="1"/>
    <n v="299"/>
    <n v="10"/>
    <n v="269"/>
    <n v="269"/>
    <x v="0"/>
    <x v="1"/>
    <n v="55"/>
    <s v="No"/>
    <n v="17.86"/>
    <n v="134.4"/>
    <n v="61.74"/>
    <n v="269"/>
    <n v="9"/>
    <s v="2026-03"/>
  </r>
  <r>
    <s v="MS100302"/>
    <d v="2026-04-18T00:00:00"/>
    <x v="0"/>
    <s v="Leggings"/>
    <x v="3"/>
    <x v="3"/>
    <s v="West Bengal"/>
    <n v="1"/>
    <n v="299"/>
    <n v="35"/>
    <n v="194"/>
    <n v="194"/>
    <x v="0"/>
    <x v="1"/>
    <n v="35"/>
    <s v="No"/>
    <n v="11.86"/>
    <n v="97.5"/>
    <n v="49.64"/>
    <n v="194"/>
    <n v="16"/>
    <s v="2026-04"/>
  </r>
  <r>
    <s v="MS100303"/>
    <d v="2026-01-05T00:00:00"/>
    <x v="3"/>
    <s v="Kids Dress"/>
    <x v="1"/>
    <x v="1"/>
    <s v="Karnataka"/>
    <n v="2"/>
    <n v="599"/>
    <n v="10"/>
    <n v="539"/>
    <n v="1078"/>
    <x v="3"/>
    <x v="1"/>
    <n v="55"/>
    <s v="No"/>
    <n v="76.67"/>
    <n v="534.78"/>
    <n v="411.55"/>
    <n v="539"/>
    <n v="2"/>
    <s v="2026-01"/>
  </r>
  <r>
    <s v="MS100304"/>
    <d v="2026-04-13T00:00:00"/>
    <x v="0"/>
    <s v="Bedsheet"/>
    <x v="4"/>
    <x v="5"/>
    <s v="Maharashtra"/>
    <n v="1"/>
    <n v="699"/>
    <n v="20"/>
    <n v="559"/>
    <n v="559"/>
    <x v="0"/>
    <x v="1"/>
    <n v="35"/>
    <s v="No"/>
    <n v="32.729999999999997"/>
    <n v="249.54"/>
    <n v="241.73"/>
    <n v="559"/>
    <n v="16"/>
    <s v="2026-04"/>
  </r>
  <r>
    <s v="MS100305"/>
    <d v="2026-07-15T00:00:00"/>
    <x v="2"/>
    <s v="Handbag"/>
    <x v="6"/>
    <x v="8"/>
    <s v="Telangana"/>
    <n v="1"/>
    <n v="549"/>
    <n v="35"/>
    <n v="357"/>
    <n v="357"/>
    <x v="3"/>
    <x v="1"/>
    <n v="35"/>
    <s v="No"/>
    <n v="27.1"/>
    <n v="181.65"/>
    <n v="113.25"/>
    <n v="357"/>
    <n v="29"/>
    <s v="2026-07"/>
  </r>
  <r>
    <s v="MS100306"/>
    <d v="2026-09-19T00:00:00"/>
    <x v="7"/>
    <s v="Oxidised Jewellery Set"/>
    <x v="7"/>
    <x v="6"/>
    <s v="Uttar Pradesh"/>
    <n v="1"/>
    <n v="249"/>
    <n v="10"/>
    <n v="224"/>
    <n v="224"/>
    <x v="3"/>
    <x v="1"/>
    <n v="35"/>
    <s v="No"/>
    <n v="14.13"/>
    <n v="95.59"/>
    <n v="79.28"/>
    <n v="224"/>
    <n v="38"/>
    <s v="2026-09"/>
  </r>
  <r>
    <s v="MS100307"/>
    <d v="2026-02-16T00:00:00"/>
    <x v="8"/>
    <s v="Bedsheet"/>
    <x v="4"/>
    <x v="5"/>
    <s v="Maharashtra"/>
    <n v="1"/>
    <n v="699"/>
    <n v="20"/>
    <n v="559"/>
    <n v="559"/>
    <x v="0"/>
    <x v="1"/>
    <n v="65"/>
    <s v="No"/>
    <n v="31.55"/>
    <n v="242.05"/>
    <n v="220.4"/>
    <n v="559"/>
    <n v="8"/>
    <s v="2026-02"/>
  </r>
  <r>
    <s v="MS100308"/>
    <d v="2026-05-24T00:00:00"/>
    <x v="4"/>
    <s v="Kids Dress"/>
    <x v="1"/>
    <x v="8"/>
    <s v="Telangana"/>
    <n v="2"/>
    <n v="599"/>
    <n v="25"/>
    <n v="449"/>
    <n v="898"/>
    <x v="0"/>
    <x v="1"/>
    <n v="65"/>
    <s v="No"/>
    <n v="47.13"/>
    <n v="378.57"/>
    <n v="407.3"/>
    <n v="449"/>
    <n v="21"/>
    <s v="2026-05"/>
  </r>
  <r>
    <s v="MS100309"/>
    <d v="2026-05-04T00:00:00"/>
    <x v="4"/>
    <s v="Men's T-Shirt"/>
    <x v="2"/>
    <x v="0"/>
    <s v="Maharashtra"/>
    <n v="1"/>
    <n v="449"/>
    <n v="15"/>
    <n v="382"/>
    <n v="382"/>
    <x v="0"/>
    <x v="0"/>
    <n v="65"/>
    <s v="No"/>
    <n v="24.75"/>
    <n v="181.96"/>
    <n v="110.29"/>
    <n v="382"/>
    <n v="19"/>
    <s v="2026-05"/>
  </r>
  <r>
    <s v="MS100310"/>
    <d v="2026-04-16T00:00:00"/>
    <x v="0"/>
    <s v="Women's Top"/>
    <x v="3"/>
    <x v="5"/>
    <s v="Maharashtra"/>
    <n v="1"/>
    <n v="399"/>
    <n v="10"/>
    <n v="359"/>
    <n v="359"/>
    <x v="0"/>
    <x v="1"/>
    <n v="55"/>
    <s v="No"/>
    <n v="20.71"/>
    <n v="176.18"/>
    <n v="107.11"/>
    <n v="359"/>
    <n v="16"/>
    <s v="2026-04"/>
  </r>
  <r>
    <s v="MS100311"/>
    <d v="2026-06-07T00:00:00"/>
    <x v="6"/>
    <s v="Bedsheet"/>
    <x v="4"/>
    <x v="7"/>
    <s v="Delhi"/>
    <n v="2"/>
    <n v="699"/>
    <n v="20"/>
    <n v="559"/>
    <n v="1118"/>
    <x v="0"/>
    <x v="0"/>
    <n v="65"/>
    <s v="No"/>
    <n v="68.319999999999993"/>
    <n v="493.22"/>
    <n v="491.46"/>
    <n v="559"/>
    <n v="23"/>
    <s v="2026-06"/>
  </r>
  <r>
    <s v="MS100312"/>
    <d v="2026-05-27T00:00:00"/>
    <x v="4"/>
    <s v="Women's Slippers"/>
    <x v="5"/>
    <x v="0"/>
    <s v="Maharashtra"/>
    <n v="1"/>
    <n v="299"/>
    <n v="30"/>
    <n v="209"/>
    <n v="209"/>
    <x v="3"/>
    <x v="0"/>
    <n v="35"/>
    <s v="No"/>
    <n v="12.57"/>
    <n v="107.62"/>
    <n v="53.81"/>
    <n v="209"/>
    <n v="22"/>
    <s v="2026-05"/>
  </r>
  <r>
    <s v="MS100313"/>
    <d v="2026-05-25T00:00:00"/>
    <x v="4"/>
    <s v="Kids Dress"/>
    <x v="1"/>
    <x v="4"/>
    <s v="Rajasthan"/>
    <n v="2"/>
    <n v="599"/>
    <n v="10"/>
    <n v="539"/>
    <n v="1078"/>
    <x v="2"/>
    <x v="0"/>
    <n v="65"/>
    <s v="Yes"/>
    <n v="64.7"/>
    <n v="527.24"/>
    <n v="421.06"/>
    <n v="539"/>
    <n v="22"/>
    <s v="2026-05"/>
  </r>
  <r>
    <s v="MS100314"/>
    <d v="2026-04-30T00:00:00"/>
    <x v="0"/>
    <s v="Kitchen Storage Set"/>
    <x v="4"/>
    <x v="9"/>
    <s v="Gujarat"/>
    <n v="1"/>
    <n v="499"/>
    <n v="10"/>
    <n v="449"/>
    <n v="449"/>
    <x v="0"/>
    <x v="1"/>
    <n v="65"/>
    <s v="No"/>
    <n v="25.39"/>
    <n v="197.75"/>
    <n v="160.86000000000001"/>
    <n v="449"/>
    <n v="18"/>
    <s v="2026-04"/>
  </r>
  <r>
    <s v="MS100315"/>
    <d v="2026-04-02T00:00:00"/>
    <x v="0"/>
    <s v="Printed Saree"/>
    <x v="3"/>
    <x v="2"/>
    <s v="Maharashtra"/>
    <n v="2"/>
    <n v="899"/>
    <n v="10"/>
    <n v="809"/>
    <n v="1618"/>
    <x v="0"/>
    <x v="1"/>
    <n v="65"/>
    <s v="No"/>
    <n v="66.34"/>
    <n v="707.3"/>
    <n v="779.36"/>
    <n v="809"/>
    <n v="14"/>
    <s v="2026-04"/>
  </r>
  <r>
    <s v="MS100316"/>
    <d v="2026-02-27T00:00:00"/>
    <x v="8"/>
    <s v="Men's T-Shirt"/>
    <x v="2"/>
    <x v="9"/>
    <s v="Gujarat"/>
    <n v="1"/>
    <n v="449"/>
    <n v="35"/>
    <n v="292"/>
    <n v="292"/>
    <x v="0"/>
    <x v="1"/>
    <n v="45"/>
    <s v="No"/>
    <n v="16.37"/>
    <n v="127.13"/>
    <n v="103.5"/>
    <n v="292"/>
    <n v="9"/>
    <s v="2026-02"/>
  </r>
  <r>
    <s v="MS100317"/>
    <d v="2026-08-17T00:00:00"/>
    <x v="5"/>
    <s v="Leggings"/>
    <x v="3"/>
    <x v="0"/>
    <s v="Maharashtra"/>
    <n v="2"/>
    <n v="299"/>
    <n v="25"/>
    <n v="224"/>
    <n v="448"/>
    <x v="0"/>
    <x v="1"/>
    <n v="65"/>
    <s v="No"/>
    <n v="28.57"/>
    <n v="219.64"/>
    <n v="134.79"/>
    <n v="224"/>
    <n v="34"/>
    <s v="2026-08"/>
  </r>
  <r>
    <s v="MS100318"/>
    <d v="2026-04-27T00:00:00"/>
    <x v="0"/>
    <s v="Makeup Organizer"/>
    <x v="0"/>
    <x v="2"/>
    <s v="Maharashtra"/>
    <n v="1"/>
    <n v="349"/>
    <n v="35"/>
    <n v="227"/>
    <n v="227"/>
    <x v="4"/>
    <x v="0"/>
    <n v="45"/>
    <s v="No"/>
    <n v="14.5"/>
    <n v="106.73"/>
    <n v="60.77"/>
    <n v="227"/>
    <n v="18"/>
    <s v="2026-04"/>
  </r>
  <r>
    <s v="MS100319"/>
    <d v="2026-05-07T00:00:00"/>
    <x v="4"/>
    <s v="Men's T-Shirt"/>
    <x v="2"/>
    <x v="8"/>
    <s v="Telangana"/>
    <n v="2"/>
    <n v="449"/>
    <n v="35"/>
    <n v="292"/>
    <n v="584"/>
    <x v="0"/>
    <x v="0"/>
    <n v="55"/>
    <s v="No"/>
    <n v="24.06"/>
    <n v="297.69"/>
    <n v="207.25"/>
    <n v="292"/>
    <n v="19"/>
    <s v="2026-05"/>
  </r>
  <r>
    <s v="MS100320"/>
    <d v="2026-05-09T00:00:00"/>
    <x v="4"/>
    <s v="Oxidised Jewellery Set"/>
    <x v="7"/>
    <x v="3"/>
    <s v="West Bengal"/>
    <n v="1"/>
    <n v="249"/>
    <n v="30"/>
    <n v="174"/>
    <n v="174"/>
    <x v="0"/>
    <x v="1"/>
    <n v="65"/>
    <s v="No"/>
    <n v="9.3800000000000008"/>
    <n v="80.66"/>
    <n v="18.96"/>
    <n v="174"/>
    <n v="19"/>
    <s v="2026-05"/>
  </r>
  <r>
    <s v="MS100321"/>
    <d v="2026-02-27T00:00:00"/>
    <x v="8"/>
    <s v="Women Kurti Set"/>
    <x v="3"/>
    <x v="5"/>
    <s v="Maharashtra"/>
    <n v="2"/>
    <n v="699"/>
    <n v="10"/>
    <n v="629"/>
    <n v="1258"/>
    <x v="0"/>
    <x v="1"/>
    <n v="45"/>
    <s v="No"/>
    <n v="71.260000000000005"/>
    <n v="549.51"/>
    <n v="592.23"/>
    <n v="629"/>
    <n v="9"/>
    <s v="2026-02"/>
  </r>
  <r>
    <s v="MS100322"/>
    <d v="2026-05-02T00:00:00"/>
    <x v="4"/>
    <s v="Printed Saree"/>
    <x v="3"/>
    <x v="9"/>
    <s v="Gujarat"/>
    <n v="2"/>
    <n v="899"/>
    <n v="10"/>
    <n v="809"/>
    <n v="1618"/>
    <x v="0"/>
    <x v="0"/>
    <n v="65"/>
    <s v="No"/>
    <n v="127.7"/>
    <n v="802.41"/>
    <n v="622.89"/>
    <n v="809"/>
    <n v="18"/>
    <s v="2026-05"/>
  </r>
  <r>
    <s v="MS100323"/>
    <d v="2026-01-01T00:00:00"/>
    <x v="3"/>
    <s v="Men's T-Shirt"/>
    <x v="2"/>
    <x v="6"/>
    <s v="Uttar Pradesh"/>
    <n v="1"/>
    <n v="449"/>
    <n v="15"/>
    <n v="382"/>
    <n v="382"/>
    <x v="0"/>
    <x v="1"/>
    <n v="35"/>
    <s v="No"/>
    <n v="18.829999999999998"/>
    <n v="165.39"/>
    <n v="162.78"/>
    <n v="382"/>
    <n v="1"/>
    <s v="2026-01"/>
  </r>
  <r>
    <s v="MS100324"/>
    <d v="2026-08-27T00:00:00"/>
    <x v="5"/>
    <s v="Women Kurti Set"/>
    <x v="3"/>
    <x v="1"/>
    <s v="Karnataka"/>
    <n v="1"/>
    <n v="699"/>
    <n v="10"/>
    <n v="629"/>
    <n v="629"/>
    <x v="0"/>
    <x v="1"/>
    <n v="45"/>
    <s v="No"/>
    <n v="47.76"/>
    <n v="313.04000000000002"/>
    <n v="223.2"/>
    <n v="629"/>
    <n v="35"/>
    <s v="2026-08"/>
  </r>
  <r>
    <s v="MS100325"/>
    <d v="2026-04-06T00:00:00"/>
    <x v="0"/>
    <s v="Men's T-Shirt"/>
    <x v="2"/>
    <x v="6"/>
    <s v="Uttar Pradesh"/>
    <n v="1"/>
    <n v="449"/>
    <n v="20"/>
    <n v="359"/>
    <n v="359"/>
    <x v="0"/>
    <x v="1"/>
    <n v="65"/>
    <s v="No"/>
    <n v="23.22"/>
    <n v="156.38"/>
    <n v="114.4"/>
    <n v="359"/>
    <n v="15"/>
    <s v="2026-04"/>
  </r>
  <r>
    <s v="MS100326"/>
    <d v="2026-05-06T00:00:00"/>
    <x v="4"/>
    <s v="Makeup Organizer"/>
    <x v="0"/>
    <x v="6"/>
    <s v="Uttar Pradesh"/>
    <n v="1"/>
    <n v="349"/>
    <n v="15"/>
    <n v="297"/>
    <n v="297"/>
    <x v="0"/>
    <x v="1"/>
    <n v="65"/>
    <s v="No"/>
    <n v="17.68"/>
    <n v="127.18"/>
    <n v="87.14"/>
    <n v="297"/>
    <n v="19"/>
    <s v="2026-05"/>
  </r>
  <r>
    <s v="MS100327"/>
    <d v="2026-04-28T00:00:00"/>
    <x v="0"/>
    <s v="Makeup Organizer"/>
    <x v="0"/>
    <x v="3"/>
    <s v="West Bengal"/>
    <n v="1"/>
    <n v="349"/>
    <n v="15"/>
    <n v="297"/>
    <n v="297"/>
    <x v="0"/>
    <x v="0"/>
    <n v="45"/>
    <s v="No"/>
    <n v="20.49"/>
    <n v="141.80000000000001"/>
    <n v="89.71"/>
    <n v="297"/>
    <n v="18"/>
    <s v="2026-04"/>
  </r>
  <r>
    <s v="MS100328"/>
    <d v="2026-02-17T00:00:00"/>
    <x v="8"/>
    <s v="Men's T-Shirt"/>
    <x v="2"/>
    <x v="2"/>
    <s v="Maharashtra"/>
    <n v="2"/>
    <n v="449"/>
    <n v="15"/>
    <n v="382"/>
    <n v="764"/>
    <x v="0"/>
    <x v="0"/>
    <n v="55"/>
    <s v="No"/>
    <n v="47.75"/>
    <n v="379.34"/>
    <n v="281.91000000000003"/>
    <n v="382"/>
    <n v="8"/>
    <s v="2026-02"/>
  </r>
  <r>
    <s v="MS100329"/>
    <d v="2026-03-30T00:00:00"/>
    <x v="1"/>
    <s v="Makeup Organizer"/>
    <x v="0"/>
    <x v="8"/>
    <s v="Telangana"/>
    <n v="1"/>
    <n v="349"/>
    <n v="30"/>
    <n v="244"/>
    <n v="244"/>
    <x v="0"/>
    <x v="1"/>
    <n v="65"/>
    <s v="No"/>
    <n v="16.47"/>
    <n v="118.54"/>
    <n v="43.99"/>
    <n v="244"/>
    <n v="14"/>
    <s v="2026-03"/>
  </r>
  <r>
    <s v="MS100330"/>
    <d v="2026-08-25T00:00:00"/>
    <x v="5"/>
    <s v="Printed Saree"/>
    <x v="3"/>
    <x v="4"/>
    <s v="Rajasthan"/>
    <n v="1"/>
    <n v="899"/>
    <n v="20"/>
    <n v="719"/>
    <n v="719"/>
    <x v="0"/>
    <x v="1"/>
    <n v="65"/>
    <s v="No"/>
    <n v="34.409999999999997"/>
    <n v="370.39"/>
    <n v="249.2"/>
    <n v="719"/>
    <n v="35"/>
    <s v="2026-08"/>
  </r>
  <r>
    <s v="MS100331"/>
    <d v="2026-07-08T00:00:00"/>
    <x v="2"/>
    <s v="Handbag"/>
    <x v="6"/>
    <x v="3"/>
    <s v="West Bengal"/>
    <n v="1"/>
    <n v="549"/>
    <n v="35"/>
    <n v="357"/>
    <n v="357"/>
    <x v="0"/>
    <x v="0"/>
    <n v="65"/>
    <s v="No"/>
    <n v="22.17"/>
    <n v="163.22999999999999"/>
    <n v="106.6"/>
    <n v="357"/>
    <n v="28"/>
    <s v="2026-07"/>
  </r>
  <r>
    <s v="MS100332"/>
    <d v="2026-07-11T00:00:00"/>
    <x v="2"/>
    <s v="Leggings"/>
    <x v="3"/>
    <x v="9"/>
    <s v="Gujarat"/>
    <n v="2"/>
    <n v="299"/>
    <n v="10"/>
    <n v="269"/>
    <n v="538"/>
    <x v="1"/>
    <x v="1"/>
    <n v="55"/>
    <s v="No"/>
    <n v="25.45"/>
    <n v="270.38"/>
    <n v="187.17"/>
    <n v="269"/>
    <n v="28"/>
    <s v="2026-07"/>
  </r>
  <r>
    <s v="MS100333"/>
    <d v="2026-03-10T00:00:00"/>
    <x v="1"/>
    <s v="Leggings"/>
    <x v="3"/>
    <x v="6"/>
    <s v="Uttar Pradesh"/>
    <n v="1"/>
    <n v="299"/>
    <n v="20"/>
    <n v="239"/>
    <n v="239"/>
    <x v="3"/>
    <x v="1"/>
    <n v="65"/>
    <s v="No"/>
    <n v="17.190000000000001"/>
    <n v="109.16"/>
    <n v="47.65"/>
    <n v="239"/>
    <n v="11"/>
    <s v="2026-03"/>
  </r>
  <r>
    <s v="MS100334"/>
    <d v="2026-09-04T00:00:00"/>
    <x v="7"/>
    <s v="Women Kurti Set"/>
    <x v="3"/>
    <x v="8"/>
    <s v="Telangana"/>
    <n v="1"/>
    <n v="699"/>
    <n v="25"/>
    <n v="524"/>
    <n v="524"/>
    <x v="0"/>
    <x v="0"/>
    <n v="45"/>
    <s v="No"/>
    <n v="31.86"/>
    <n v="247.43"/>
    <n v="199.71"/>
    <n v="524"/>
    <n v="36"/>
    <s v="2026-09"/>
  </r>
  <r>
    <s v="MS100335"/>
    <d v="2026-03-17T00:00:00"/>
    <x v="1"/>
    <s v="Bedsheet"/>
    <x v="4"/>
    <x v="5"/>
    <s v="Maharashtra"/>
    <n v="2"/>
    <n v="699"/>
    <n v="25"/>
    <n v="524"/>
    <n v="1048"/>
    <x v="3"/>
    <x v="1"/>
    <n v="45"/>
    <s v="No"/>
    <n v="53.04"/>
    <n v="498.25"/>
    <n v="451.71"/>
    <n v="524"/>
    <n v="12"/>
    <s v="2026-03"/>
  </r>
  <r>
    <s v="MS100336"/>
    <d v="2026-06-03T00:00:00"/>
    <x v="6"/>
    <s v="Men's T-Shirt"/>
    <x v="2"/>
    <x v="5"/>
    <s v="Maharashtra"/>
    <n v="1"/>
    <n v="449"/>
    <n v="40"/>
    <n v="269"/>
    <n v="269"/>
    <x v="2"/>
    <x v="0"/>
    <n v="65"/>
    <s v="Yes"/>
    <n v="12.99"/>
    <n v="119.39"/>
    <n v="71.62"/>
    <n v="269"/>
    <n v="23"/>
    <s v="2026-06"/>
  </r>
  <r>
    <s v="MS100337"/>
    <d v="2026-05-24T00:00:00"/>
    <x v="4"/>
    <s v="Oxidised Jewellery Set"/>
    <x v="7"/>
    <x v="8"/>
    <s v="Telangana"/>
    <n v="1"/>
    <n v="249"/>
    <n v="30"/>
    <n v="174"/>
    <n v="174"/>
    <x v="0"/>
    <x v="0"/>
    <n v="45"/>
    <s v="No"/>
    <n v="12.25"/>
    <n v="82"/>
    <n v="34.75"/>
    <n v="174"/>
    <n v="21"/>
    <s v="2026-05"/>
  </r>
  <r>
    <s v="MS100338"/>
    <d v="2026-03-27T00:00:00"/>
    <x v="1"/>
    <s v="Printed Saree"/>
    <x v="3"/>
    <x v="0"/>
    <s v="Maharashtra"/>
    <n v="1"/>
    <n v="899"/>
    <n v="5"/>
    <n v="854"/>
    <n v="854"/>
    <x v="0"/>
    <x v="0"/>
    <n v="55"/>
    <s v="No"/>
    <n v="56.25"/>
    <n v="378.04"/>
    <n v="364.71"/>
    <n v="854"/>
    <n v="13"/>
    <s v="2026-03"/>
  </r>
  <r>
    <s v="MS100339"/>
    <d v="2026-07-04T00:00:00"/>
    <x v="2"/>
    <s v="Bedsheet"/>
    <x v="4"/>
    <x v="5"/>
    <s v="Maharashtra"/>
    <n v="2"/>
    <n v="699"/>
    <n v="10"/>
    <n v="629"/>
    <n v="1258"/>
    <x v="0"/>
    <x v="0"/>
    <n v="45"/>
    <s v="No"/>
    <n v="78.05"/>
    <n v="583.48"/>
    <n v="551.47"/>
    <n v="629"/>
    <n v="27"/>
    <s v="2026-07"/>
  </r>
  <r>
    <s v="MS100340"/>
    <d v="2026-08-08T00:00:00"/>
    <x v="5"/>
    <s v="Women Kurti Set"/>
    <x v="3"/>
    <x v="7"/>
    <s v="Delhi"/>
    <n v="2"/>
    <n v="699"/>
    <n v="15"/>
    <n v="594"/>
    <n v="1188"/>
    <x v="0"/>
    <x v="0"/>
    <n v="65"/>
    <s v="No"/>
    <n v="81.95"/>
    <n v="512.22"/>
    <n v="528.83000000000004"/>
    <n v="594"/>
    <n v="32"/>
    <s v="2026-08"/>
  </r>
  <r>
    <s v="MS100341"/>
    <d v="2026-03-10T00:00:00"/>
    <x v="1"/>
    <s v="Men's T-Shirt"/>
    <x v="2"/>
    <x v="2"/>
    <s v="Maharashtra"/>
    <n v="1"/>
    <n v="449"/>
    <n v="15"/>
    <n v="382"/>
    <n v="382"/>
    <x v="0"/>
    <x v="1"/>
    <n v="55"/>
    <s v="No"/>
    <n v="17.2"/>
    <n v="189.96"/>
    <n v="119.84"/>
    <n v="382"/>
    <n v="11"/>
    <s v="2026-03"/>
  </r>
  <r>
    <s v="MS100342"/>
    <d v="2026-02-16T00:00:00"/>
    <x v="8"/>
    <s v="Women's Top"/>
    <x v="3"/>
    <x v="8"/>
    <s v="Telangana"/>
    <n v="2"/>
    <n v="399"/>
    <n v="35"/>
    <n v="259"/>
    <n v="518"/>
    <x v="0"/>
    <x v="1"/>
    <n v="45"/>
    <s v="No"/>
    <n v="21.12"/>
    <n v="260.39"/>
    <n v="191.49"/>
    <n v="259"/>
    <n v="8"/>
    <s v="2026-02"/>
  </r>
  <r>
    <s v="MS100343"/>
    <d v="2026-04-04T00:00:00"/>
    <x v="0"/>
    <s v="Kitchen Storage Set"/>
    <x v="4"/>
    <x v="2"/>
    <s v="Maharashtra"/>
    <n v="1"/>
    <n v="499"/>
    <n v="15"/>
    <n v="424"/>
    <n v="424"/>
    <x v="0"/>
    <x v="0"/>
    <n v="55"/>
    <s v="No"/>
    <n v="21.94"/>
    <n v="179.84"/>
    <n v="167.22"/>
    <n v="424"/>
    <n v="14"/>
    <s v="2026-04"/>
  </r>
  <r>
    <s v="MS100344"/>
    <d v="2026-08-26T00:00:00"/>
    <x v="5"/>
    <s v="Kids Dress"/>
    <x v="1"/>
    <x v="2"/>
    <s v="Maharashtra"/>
    <n v="1"/>
    <n v="599"/>
    <n v="15"/>
    <n v="509"/>
    <n v="509"/>
    <x v="0"/>
    <x v="0"/>
    <n v="45"/>
    <s v="No"/>
    <n v="39.64"/>
    <n v="258.82"/>
    <n v="165.54"/>
    <n v="509"/>
    <n v="35"/>
    <s v="2026-08"/>
  </r>
  <r>
    <s v="MS100345"/>
    <d v="2026-07-23T00:00:00"/>
    <x v="2"/>
    <s v="Makeup Organizer"/>
    <x v="0"/>
    <x v="2"/>
    <s v="Maharashtra"/>
    <n v="1"/>
    <n v="349"/>
    <n v="40"/>
    <n v="209"/>
    <n v="209"/>
    <x v="0"/>
    <x v="1"/>
    <n v="65"/>
    <s v="No"/>
    <n v="12.9"/>
    <n v="95.03"/>
    <n v="36.07"/>
    <n v="209"/>
    <n v="30"/>
    <s v="2026-07"/>
  </r>
  <r>
    <s v="MS100346"/>
    <d v="2026-08-06T00:00:00"/>
    <x v="5"/>
    <s v="Handbag"/>
    <x v="6"/>
    <x v="5"/>
    <s v="Maharashtra"/>
    <n v="1"/>
    <n v="549"/>
    <n v="10"/>
    <n v="494"/>
    <n v="494"/>
    <x v="0"/>
    <x v="0"/>
    <n v="65"/>
    <s v="No"/>
    <n v="24.92"/>
    <n v="224.44"/>
    <n v="179.64"/>
    <n v="494"/>
    <n v="32"/>
    <s v="2026-08"/>
  </r>
  <r>
    <s v="MS100347"/>
    <d v="2026-02-08T00:00:00"/>
    <x v="8"/>
    <s v="Women's Slippers"/>
    <x v="5"/>
    <x v="6"/>
    <s v="Uttar Pradesh"/>
    <n v="2"/>
    <n v="299"/>
    <n v="20"/>
    <n v="239"/>
    <n v="478"/>
    <x v="0"/>
    <x v="0"/>
    <n v="55"/>
    <s v="No"/>
    <n v="20.89"/>
    <n v="208.54"/>
    <n v="193.57"/>
    <n v="239"/>
    <n v="6"/>
    <s v="2026-02"/>
  </r>
  <r>
    <s v="MS100348"/>
    <d v="2026-04-10T00:00:00"/>
    <x v="0"/>
    <s v="Men's T-Shirt"/>
    <x v="2"/>
    <x v="4"/>
    <s v="Rajasthan"/>
    <n v="3"/>
    <n v="449"/>
    <n v="20"/>
    <n v="359"/>
    <n v="1077"/>
    <x v="0"/>
    <x v="0"/>
    <n v="45"/>
    <s v="No"/>
    <n v="43.3"/>
    <n v="458.81"/>
    <n v="529.89"/>
    <n v="359"/>
    <n v="15"/>
    <s v="2026-04"/>
  </r>
  <r>
    <s v="MS100349"/>
    <d v="2026-09-11T00:00:00"/>
    <x v="7"/>
    <s v="Bedsheet"/>
    <x v="4"/>
    <x v="6"/>
    <s v="Uttar Pradesh"/>
    <n v="1"/>
    <n v="699"/>
    <n v="35"/>
    <n v="454"/>
    <n v="454"/>
    <x v="1"/>
    <x v="1"/>
    <n v="45"/>
    <s v="No"/>
    <n v="35.26"/>
    <n v="226.28"/>
    <n v="147.46"/>
    <n v="454"/>
    <n v="37"/>
    <s v="2026-09"/>
  </r>
  <r>
    <s v="MS100350"/>
    <d v="2026-08-10T00:00:00"/>
    <x v="5"/>
    <s v="Kitchen Storage Set"/>
    <x v="4"/>
    <x v="8"/>
    <s v="Telangana"/>
    <n v="1"/>
    <n v="499"/>
    <n v="25"/>
    <n v="374"/>
    <n v="374"/>
    <x v="1"/>
    <x v="1"/>
    <n v="45"/>
    <s v="No"/>
    <n v="28.36"/>
    <n v="191.08"/>
    <n v="109.56"/>
    <n v="374"/>
    <n v="33"/>
    <s v="2026-08"/>
  </r>
  <r>
    <s v="MS100351"/>
    <d v="2026-01-23T00:00:00"/>
    <x v="3"/>
    <s v="Oxidised Jewellery Set"/>
    <x v="7"/>
    <x v="2"/>
    <s v="Maharashtra"/>
    <n v="1"/>
    <n v="249"/>
    <n v="25"/>
    <n v="187"/>
    <n v="187"/>
    <x v="2"/>
    <x v="1"/>
    <n v="35"/>
    <s v="Yes"/>
    <n v="10.7"/>
    <n v="94.08"/>
    <n v="47.22"/>
    <n v="187"/>
    <n v="4"/>
    <s v="2026-01"/>
  </r>
  <r>
    <s v="MS100352"/>
    <d v="2026-09-07T00:00:00"/>
    <x v="7"/>
    <s v="Women Kurti Set"/>
    <x v="3"/>
    <x v="1"/>
    <s v="Karnataka"/>
    <n v="1"/>
    <n v="699"/>
    <n v="20"/>
    <n v="559"/>
    <n v="559"/>
    <x v="0"/>
    <x v="0"/>
    <n v="65"/>
    <s v="No"/>
    <n v="38.770000000000003"/>
    <n v="270.12"/>
    <n v="185.11"/>
    <n v="559"/>
    <n v="37"/>
    <s v="2026-09"/>
  </r>
  <r>
    <s v="MS100353"/>
    <d v="2026-01-10T00:00:00"/>
    <x v="3"/>
    <s v="Makeup Organizer"/>
    <x v="0"/>
    <x v="8"/>
    <s v="Telangana"/>
    <n v="1"/>
    <n v="349"/>
    <n v="5"/>
    <n v="332"/>
    <n v="332"/>
    <x v="0"/>
    <x v="0"/>
    <n v="55"/>
    <s v="No"/>
    <n v="22.03"/>
    <n v="170.37"/>
    <n v="84.6"/>
    <n v="332"/>
    <n v="2"/>
    <s v="2026-01"/>
  </r>
  <r>
    <s v="MS100354"/>
    <d v="2026-09-03T00:00:00"/>
    <x v="7"/>
    <s v="Leggings"/>
    <x v="3"/>
    <x v="6"/>
    <s v="Uttar Pradesh"/>
    <n v="1"/>
    <n v="299"/>
    <n v="35"/>
    <n v="194"/>
    <n v="194"/>
    <x v="0"/>
    <x v="1"/>
    <n v="35"/>
    <s v="No"/>
    <n v="15.08"/>
    <n v="83.09"/>
    <n v="60.83"/>
    <n v="194"/>
    <n v="36"/>
    <s v="2026-09"/>
  </r>
  <r>
    <s v="MS100355"/>
    <d v="2026-04-10T00:00:00"/>
    <x v="0"/>
    <s v="Women's Top"/>
    <x v="3"/>
    <x v="5"/>
    <s v="Maharashtra"/>
    <n v="1"/>
    <n v="399"/>
    <n v="20"/>
    <n v="319"/>
    <n v="319"/>
    <x v="0"/>
    <x v="0"/>
    <n v="35"/>
    <s v="No"/>
    <n v="20.23"/>
    <n v="141.19999999999999"/>
    <n v="122.57"/>
    <n v="319"/>
    <n v="15"/>
    <s v="2026-04"/>
  </r>
  <r>
    <s v="MS100356"/>
    <d v="2026-06-29T00:00:00"/>
    <x v="6"/>
    <s v="Printed Saree"/>
    <x v="3"/>
    <x v="2"/>
    <s v="Maharashtra"/>
    <n v="1"/>
    <n v="899"/>
    <n v="25"/>
    <n v="674"/>
    <n v="674"/>
    <x v="1"/>
    <x v="1"/>
    <n v="65"/>
    <s v="No"/>
    <n v="29.74"/>
    <n v="294.70999999999998"/>
    <n v="284.55"/>
    <n v="674"/>
    <n v="27"/>
    <s v="2026-06"/>
  </r>
  <r>
    <s v="MS100357"/>
    <d v="2026-08-11T00:00:00"/>
    <x v="5"/>
    <s v="Leggings"/>
    <x v="3"/>
    <x v="5"/>
    <s v="Maharashtra"/>
    <n v="2"/>
    <n v="299"/>
    <n v="5"/>
    <n v="284"/>
    <n v="568"/>
    <x v="3"/>
    <x v="1"/>
    <n v="65"/>
    <s v="No"/>
    <n v="30.62"/>
    <n v="241.42"/>
    <n v="230.96"/>
    <n v="284"/>
    <n v="33"/>
    <s v="2026-08"/>
  </r>
  <r>
    <s v="MS100358"/>
    <d v="2026-09-07T00:00:00"/>
    <x v="7"/>
    <s v="Women's Slippers"/>
    <x v="5"/>
    <x v="2"/>
    <s v="Maharashtra"/>
    <n v="1"/>
    <n v="299"/>
    <n v="15"/>
    <n v="254"/>
    <n v="254"/>
    <x v="0"/>
    <x v="0"/>
    <n v="35"/>
    <s v="No"/>
    <n v="11.56"/>
    <n v="124.17"/>
    <n v="83.27"/>
    <n v="254"/>
    <n v="37"/>
    <s v="2026-09"/>
  </r>
  <r>
    <s v="MS100359"/>
    <d v="2026-05-27T00:00:00"/>
    <x v="4"/>
    <s v="Women Kurti Set"/>
    <x v="3"/>
    <x v="9"/>
    <s v="Gujarat"/>
    <n v="1"/>
    <n v="699"/>
    <n v="20"/>
    <n v="559"/>
    <n v="559"/>
    <x v="0"/>
    <x v="1"/>
    <n v="55"/>
    <s v="No"/>
    <n v="23.52"/>
    <n v="265.93"/>
    <n v="214.55"/>
    <n v="559"/>
    <n v="22"/>
    <s v="2026-05"/>
  </r>
  <r>
    <s v="MS100360"/>
    <d v="2026-04-06T00:00:00"/>
    <x v="0"/>
    <s v="Leggings"/>
    <x v="3"/>
    <x v="2"/>
    <s v="Maharashtra"/>
    <n v="1"/>
    <n v="299"/>
    <n v="35"/>
    <n v="194"/>
    <n v="194"/>
    <x v="0"/>
    <x v="0"/>
    <n v="45"/>
    <s v="No"/>
    <n v="10.72"/>
    <n v="97.16"/>
    <n v="41.12"/>
    <n v="194"/>
    <n v="15"/>
    <s v="2026-04"/>
  </r>
  <r>
    <s v="MS100361"/>
    <d v="2026-09-14T00:00:00"/>
    <x v="7"/>
    <s v="Kids Dress"/>
    <x v="1"/>
    <x v="2"/>
    <s v="Maharashtra"/>
    <n v="1"/>
    <n v="599"/>
    <n v="15"/>
    <n v="509"/>
    <n v="509"/>
    <x v="0"/>
    <x v="1"/>
    <n v="35"/>
    <s v="No"/>
    <n v="39.369999999999997"/>
    <n v="248.59"/>
    <n v="186.04"/>
    <n v="509"/>
    <n v="38"/>
    <s v="2026-09"/>
  </r>
  <r>
    <s v="MS100362"/>
    <d v="2026-01-04T00:00:00"/>
    <x v="3"/>
    <s v="Makeup Organizer"/>
    <x v="0"/>
    <x v="8"/>
    <s v="Telangana"/>
    <n v="1"/>
    <n v="349"/>
    <n v="15"/>
    <n v="297"/>
    <n v="297"/>
    <x v="3"/>
    <x v="0"/>
    <n v="45"/>
    <s v="No"/>
    <n v="23.42"/>
    <n v="141.44"/>
    <n v="87.14"/>
    <n v="297"/>
    <n v="1"/>
    <s v="2026-01"/>
  </r>
  <r>
    <s v="MS100363"/>
    <d v="2026-01-16T00:00:00"/>
    <x v="3"/>
    <s v="Oxidised Jewellery Set"/>
    <x v="7"/>
    <x v="4"/>
    <s v="Rajasthan"/>
    <n v="1"/>
    <n v="249"/>
    <n v="30"/>
    <n v="174"/>
    <n v="174"/>
    <x v="0"/>
    <x v="1"/>
    <n v="55"/>
    <s v="No"/>
    <n v="7.49"/>
    <n v="79.25"/>
    <n v="32.26"/>
    <n v="174"/>
    <n v="3"/>
    <s v="2026-01"/>
  </r>
  <r>
    <s v="MS100364"/>
    <d v="2026-09-04T00:00:00"/>
    <x v="7"/>
    <s v="Makeup Organizer"/>
    <x v="0"/>
    <x v="6"/>
    <s v="Uttar Pradesh"/>
    <n v="1"/>
    <n v="349"/>
    <n v="20"/>
    <n v="279"/>
    <n v="279"/>
    <x v="4"/>
    <x v="1"/>
    <n v="45"/>
    <s v="No"/>
    <n v="12.34"/>
    <n v="127.08"/>
    <n v="94.58"/>
    <n v="279"/>
    <n v="36"/>
    <s v="2026-09"/>
  </r>
  <r>
    <s v="MS100365"/>
    <d v="2026-09-15T00:00:00"/>
    <x v="7"/>
    <s v="Makeup Organizer"/>
    <x v="0"/>
    <x v="8"/>
    <s v="Telangana"/>
    <n v="1"/>
    <n v="349"/>
    <n v="20"/>
    <n v="279"/>
    <n v="279"/>
    <x v="0"/>
    <x v="1"/>
    <n v="55"/>
    <s v="No"/>
    <n v="11.49"/>
    <n v="142.49"/>
    <n v="70.02"/>
    <n v="279"/>
    <n v="38"/>
    <s v="2026-09"/>
  </r>
  <r>
    <s v="MS100366"/>
    <d v="2026-06-09T00:00:00"/>
    <x v="6"/>
    <s v="Makeup Organizer"/>
    <x v="0"/>
    <x v="0"/>
    <s v="Maharashtra"/>
    <n v="1"/>
    <n v="349"/>
    <n v="15"/>
    <n v="297"/>
    <n v="297"/>
    <x v="0"/>
    <x v="0"/>
    <n v="55"/>
    <s v="No"/>
    <n v="15"/>
    <n v="134.04"/>
    <n v="92.96"/>
    <n v="297"/>
    <n v="24"/>
    <s v="2026-06"/>
  </r>
  <r>
    <s v="MS100367"/>
    <d v="2026-06-01T00:00:00"/>
    <x v="6"/>
    <s v="Oxidised Jewellery Set"/>
    <x v="7"/>
    <x v="6"/>
    <s v="Uttar Pradesh"/>
    <n v="1"/>
    <n v="249"/>
    <n v="20"/>
    <n v="199"/>
    <n v="199"/>
    <x v="0"/>
    <x v="1"/>
    <n v="65"/>
    <s v="No"/>
    <n v="11.17"/>
    <n v="98.55"/>
    <n v="24.28"/>
    <n v="199"/>
    <n v="23"/>
    <s v="2026-06"/>
  </r>
  <r>
    <s v="MS100368"/>
    <d v="2026-06-27T00:00:00"/>
    <x v="6"/>
    <s v="Women's Top"/>
    <x v="3"/>
    <x v="8"/>
    <s v="Telangana"/>
    <n v="1"/>
    <n v="399"/>
    <n v="30"/>
    <n v="279"/>
    <n v="279"/>
    <x v="1"/>
    <x v="0"/>
    <n v="35"/>
    <s v="No"/>
    <n v="18.5"/>
    <n v="117.4"/>
    <n v="108.1"/>
    <n v="279"/>
    <n v="26"/>
    <s v="2026-06"/>
  </r>
  <r>
    <s v="MS100369"/>
    <d v="2026-06-12T00:00:00"/>
    <x v="6"/>
    <s v="Women's Slippers"/>
    <x v="5"/>
    <x v="1"/>
    <s v="Karnataka"/>
    <n v="2"/>
    <n v="299"/>
    <n v="20"/>
    <n v="239"/>
    <n v="478"/>
    <x v="0"/>
    <x v="1"/>
    <n v="55"/>
    <s v="No"/>
    <n v="28.37"/>
    <n v="225.33"/>
    <n v="169.3"/>
    <n v="239"/>
    <n v="24"/>
    <s v="2026-06"/>
  </r>
  <r>
    <s v="MS100370"/>
    <d v="2026-02-02T00:00:00"/>
    <x v="8"/>
    <s v="Bedsheet"/>
    <x v="4"/>
    <x v="9"/>
    <s v="Gujarat"/>
    <n v="1"/>
    <n v="699"/>
    <n v="5"/>
    <n v="664"/>
    <n v="664"/>
    <x v="0"/>
    <x v="1"/>
    <n v="55"/>
    <s v="No"/>
    <n v="45.49"/>
    <n v="325.14"/>
    <n v="238.37"/>
    <n v="664"/>
    <n v="6"/>
    <s v="2026-02"/>
  </r>
  <r>
    <s v="MS100371"/>
    <d v="2026-06-28T00:00:00"/>
    <x v="6"/>
    <s v="Women Kurti Set"/>
    <x v="3"/>
    <x v="3"/>
    <s v="West Bengal"/>
    <n v="1"/>
    <n v="699"/>
    <n v="35"/>
    <n v="454"/>
    <n v="454"/>
    <x v="1"/>
    <x v="0"/>
    <n v="55"/>
    <s v="No"/>
    <n v="35.35"/>
    <n v="208.85"/>
    <n v="154.80000000000001"/>
    <n v="454"/>
    <n v="26"/>
    <s v="2026-06"/>
  </r>
  <r>
    <s v="MS100372"/>
    <d v="2026-04-11T00:00:00"/>
    <x v="0"/>
    <s v="Kids Dress"/>
    <x v="1"/>
    <x v="5"/>
    <s v="Maharashtra"/>
    <n v="1"/>
    <n v="599"/>
    <n v="25"/>
    <n v="449"/>
    <n v="449"/>
    <x v="3"/>
    <x v="1"/>
    <n v="35"/>
    <s v="No"/>
    <n v="25.7"/>
    <n v="202.25"/>
    <n v="186.05"/>
    <n v="449"/>
    <n v="15"/>
    <s v="2026-04"/>
  </r>
  <r>
    <s v="MS100373"/>
    <d v="2026-03-06T00:00:00"/>
    <x v="1"/>
    <s v="Makeup Organizer"/>
    <x v="0"/>
    <x v="7"/>
    <s v="Delhi"/>
    <n v="2"/>
    <n v="349"/>
    <n v="20"/>
    <n v="279"/>
    <n v="558"/>
    <x v="0"/>
    <x v="1"/>
    <n v="55"/>
    <s v="No"/>
    <n v="31.63"/>
    <n v="243.3"/>
    <n v="228.07"/>
    <n v="279"/>
    <n v="10"/>
    <s v="2026-03"/>
  </r>
  <r>
    <s v="MS100374"/>
    <d v="2026-06-17T00:00:00"/>
    <x v="6"/>
    <s v="Kitchen Storage Set"/>
    <x v="4"/>
    <x v="5"/>
    <s v="Maharashtra"/>
    <n v="2"/>
    <n v="499"/>
    <n v="10"/>
    <n v="449"/>
    <n v="898"/>
    <x v="0"/>
    <x v="1"/>
    <n v="55"/>
    <s v="No"/>
    <n v="64.83"/>
    <n v="381.86"/>
    <n v="396.31"/>
    <n v="449"/>
    <n v="25"/>
    <s v="2026-06"/>
  </r>
  <r>
    <s v="MS100375"/>
    <d v="2026-02-12T00:00:00"/>
    <x v="8"/>
    <s v="Printed Saree"/>
    <x v="3"/>
    <x v="5"/>
    <s v="Maharashtra"/>
    <n v="1"/>
    <n v="899"/>
    <n v="5"/>
    <n v="854"/>
    <n v="854"/>
    <x v="1"/>
    <x v="1"/>
    <n v="35"/>
    <s v="No"/>
    <n v="44.57"/>
    <n v="381.27"/>
    <n v="393.16"/>
    <n v="854"/>
    <n v="7"/>
    <s v="2026-02"/>
  </r>
  <r>
    <s v="MS100376"/>
    <d v="2026-02-13T00:00:00"/>
    <x v="8"/>
    <s v="Printed Saree"/>
    <x v="3"/>
    <x v="3"/>
    <s v="West Bengal"/>
    <n v="1"/>
    <n v="899"/>
    <n v="5"/>
    <n v="854"/>
    <n v="854"/>
    <x v="0"/>
    <x v="0"/>
    <n v="35"/>
    <s v="No"/>
    <n v="34.49"/>
    <n v="431.95"/>
    <n v="352.56"/>
    <n v="854"/>
    <n v="7"/>
    <s v="2026-02"/>
  </r>
  <r>
    <s v="MS100377"/>
    <d v="2026-01-12T00:00:00"/>
    <x v="3"/>
    <s v="Leggings"/>
    <x v="3"/>
    <x v="3"/>
    <s v="West Bengal"/>
    <n v="2"/>
    <n v="299"/>
    <n v="15"/>
    <n v="254"/>
    <n v="508"/>
    <x v="0"/>
    <x v="1"/>
    <n v="65"/>
    <s v="No"/>
    <n v="27.72"/>
    <n v="242.12"/>
    <n v="173.16"/>
    <n v="254"/>
    <n v="3"/>
    <s v="2026-01"/>
  </r>
  <r>
    <s v="MS100378"/>
    <d v="2026-04-05T00:00:00"/>
    <x v="0"/>
    <s v="Makeup Organizer"/>
    <x v="0"/>
    <x v="6"/>
    <s v="Uttar Pradesh"/>
    <n v="2"/>
    <n v="349"/>
    <n v="20"/>
    <n v="279"/>
    <n v="558"/>
    <x v="0"/>
    <x v="1"/>
    <n v="65"/>
    <s v="No"/>
    <n v="24.4"/>
    <n v="257.27"/>
    <n v="211.33"/>
    <n v="279"/>
    <n v="14"/>
    <s v="2026-04"/>
  </r>
  <r>
    <s v="MS100379"/>
    <d v="2026-09-10T00:00:00"/>
    <x v="7"/>
    <s v="Women Kurti Set"/>
    <x v="3"/>
    <x v="6"/>
    <s v="Uttar Pradesh"/>
    <n v="1"/>
    <n v="699"/>
    <n v="10"/>
    <n v="629"/>
    <n v="629"/>
    <x v="0"/>
    <x v="0"/>
    <n v="65"/>
    <s v="No"/>
    <n v="36.479999999999997"/>
    <n v="285.41000000000003"/>
    <n v="242.11"/>
    <n v="629"/>
    <n v="37"/>
    <s v="2026-09"/>
  </r>
  <r>
    <s v="MS100380"/>
    <d v="2026-08-30T00:00:00"/>
    <x v="5"/>
    <s v="Oxidised Jewellery Set"/>
    <x v="7"/>
    <x v="5"/>
    <s v="Maharashtra"/>
    <n v="1"/>
    <n v="249"/>
    <n v="35"/>
    <n v="162"/>
    <n v="162"/>
    <x v="3"/>
    <x v="1"/>
    <n v="35"/>
    <s v="No"/>
    <n v="8.65"/>
    <n v="74.430000000000007"/>
    <n v="43.92"/>
    <n v="162"/>
    <n v="35"/>
    <s v="2026-08"/>
  </r>
  <r>
    <s v="MS100381"/>
    <d v="2026-02-04T00:00:00"/>
    <x v="8"/>
    <s v="Handbag"/>
    <x v="6"/>
    <x v="5"/>
    <s v="Maharashtra"/>
    <n v="1"/>
    <n v="549"/>
    <n v="15"/>
    <n v="467"/>
    <n v="467"/>
    <x v="4"/>
    <x v="1"/>
    <n v="35"/>
    <s v="No"/>
    <n v="21.47"/>
    <n v="208.66"/>
    <n v="201.87"/>
    <n v="467"/>
    <n v="6"/>
    <s v="2026-02"/>
  </r>
  <r>
    <s v="MS100382"/>
    <d v="2026-08-03T00:00:00"/>
    <x v="5"/>
    <s v="Leggings"/>
    <x v="3"/>
    <x v="0"/>
    <s v="Maharashtra"/>
    <n v="1"/>
    <n v="299"/>
    <n v="5"/>
    <n v="284"/>
    <n v="284"/>
    <x v="0"/>
    <x v="0"/>
    <n v="55"/>
    <s v="No"/>
    <n v="20.48"/>
    <n v="126.28"/>
    <n v="82.24"/>
    <n v="284"/>
    <n v="32"/>
    <s v="2026-08"/>
  </r>
  <r>
    <s v="MS100383"/>
    <d v="2026-03-31T00:00:00"/>
    <x v="1"/>
    <s v="Bedsheet"/>
    <x v="4"/>
    <x v="9"/>
    <s v="Gujarat"/>
    <n v="1"/>
    <n v="699"/>
    <n v="15"/>
    <n v="594"/>
    <n v="594"/>
    <x v="0"/>
    <x v="0"/>
    <n v="55"/>
    <s v="No"/>
    <n v="33.53"/>
    <n v="263.77"/>
    <n v="241.7"/>
    <n v="594"/>
    <n v="14"/>
    <s v="2026-03"/>
  </r>
  <r>
    <s v="MS100384"/>
    <d v="2026-09-21T00:00:00"/>
    <x v="7"/>
    <s v="Kitchen Storage Set"/>
    <x v="4"/>
    <x v="1"/>
    <s v="Karnataka"/>
    <n v="1"/>
    <n v="499"/>
    <n v="30"/>
    <n v="349"/>
    <n v="349"/>
    <x v="0"/>
    <x v="1"/>
    <n v="65"/>
    <s v="No"/>
    <n v="23.12"/>
    <n v="165.26"/>
    <n v="95.62"/>
    <n v="349"/>
    <n v="39"/>
    <s v="2026-09"/>
  </r>
  <r>
    <s v="MS100385"/>
    <d v="2026-04-03T00:00:00"/>
    <x v="0"/>
    <s v="Bedsheet"/>
    <x v="4"/>
    <x v="0"/>
    <s v="Maharashtra"/>
    <n v="1"/>
    <n v="699"/>
    <n v="20"/>
    <n v="559"/>
    <n v="559"/>
    <x v="0"/>
    <x v="0"/>
    <n v="65"/>
    <s v="No"/>
    <n v="44.21"/>
    <n v="279.14999999999998"/>
    <n v="170.64"/>
    <n v="559"/>
    <n v="14"/>
    <s v="2026-04"/>
  </r>
  <r>
    <s v="MS100386"/>
    <d v="2026-03-31T00:00:00"/>
    <x v="1"/>
    <s v="Kitchen Storage Set"/>
    <x v="4"/>
    <x v="8"/>
    <s v="Telangana"/>
    <n v="2"/>
    <n v="499"/>
    <n v="15"/>
    <n v="424"/>
    <n v="848"/>
    <x v="0"/>
    <x v="0"/>
    <n v="45"/>
    <s v="No"/>
    <n v="48.65"/>
    <n v="394.02"/>
    <n v="360.33"/>
    <n v="424"/>
    <n v="14"/>
    <s v="2026-03"/>
  </r>
  <r>
    <s v="MS100387"/>
    <d v="2026-04-25T00:00:00"/>
    <x v="0"/>
    <s v="Men's T-Shirt"/>
    <x v="2"/>
    <x v="2"/>
    <s v="Maharashtra"/>
    <n v="1"/>
    <n v="449"/>
    <n v="25"/>
    <n v="337"/>
    <n v="337"/>
    <x v="0"/>
    <x v="1"/>
    <n v="55"/>
    <s v="No"/>
    <n v="22.77"/>
    <n v="169.28"/>
    <n v="89.95"/>
    <n v="337"/>
    <n v="17"/>
    <s v="2026-04"/>
  </r>
  <r>
    <s v="MS100388"/>
    <d v="2026-04-15T00:00:00"/>
    <x v="0"/>
    <s v="Bedsheet"/>
    <x v="4"/>
    <x v="4"/>
    <s v="Rajasthan"/>
    <n v="1"/>
    <n v="699"/>
    <n v="30"/>
    <n v="489"/>
    <n v="489"/>
    <x v="0"/>
    <x v="0"/>
    <n v="35"/>
    <s v="No"/>
    <n v="29.19"/>
    <n v="214.92"/>
    <n v="209.89"/>
    <n v="489"/>
    <n v="16"/>
    <s v="2026-04"/>
  </r>
  <r>
    <s v="MS100389"/>
    <d v="2026-07-15T00:00:00"/>
    <x v="2"/>
    <s v="Women's Top"/>
    <x v="3"/>
    <x v="5"/>
    <s v="Maharashtra"/>
    <n v="2"/>
    <n v="399"/>
    <n v="25"/>
    <n v="299"/>
    <n v="598"/>
    <x v="0"/>
    <x v="0"/>
    <n v="55"/>
    <s v="No"/>
    <n v="26.93"/>
    <n v="309.70999999999998"/>
    <n v="206.36"/>
    <n v="299"/>
    <n v="29"/>
    <s v="2026-07"/>
  </r>
  <r>
    <s v="MS100390"/>
    <d v="2026-04-24T00:00:00"/>
    <x v="0"/>
    <s v="Handbag"/>
    <x v="6"/>
    <x v="7"/>
    <s v="Delhi"/>
    <n v="1"/>
    <n v="549"/>
    <n v="25"/>
    <n v="412"/>
    <n v="412"/>
    <x v="0"/>
    <x v="1"/>
    <n v="65"/>
    <s v="No"/>
    <n v="16.57"/>
    <n v="173.1"/>
    <n v="157.33000000000001"/>
    <n v="412"/>
    <n v="17"/>
    <s v="2026-04"/>
  </r>
  <r>
    <s v="MS100391"/>
    <d v="2026-03-16T00:00:00"/>
    <x v="1"/>
    <s v="Women's Slippers"/>
    <x v="5"/>
    <x v="3"/>
    <s v="West Bengal"/>
    <n v="1"/>
    <n v="299"/>
    <n v="20"/>
    <n v="239"/>
    <n v="239"/>
    <x v="2"/>
    <x v="1"/>
    <n v="35"/>
    <s v="Yes"/>
    <n v="15.54"/>
    <n v="118.24"/>
    <n v="70.22"/>
    <n v="239"/>
    <n v="12"/>
    <s v="2026-03"/>
  </r>
  <r>
    <s v="MS100392"/>
    <d v="2026-08-05T00:00:00"/>
    <x v="5"/>
    <s v="Women's Top"/>
    <x v="3"/>
    <x v="9"/>
    <s v="Gujarat"/>
    <n v="1"/>
    <n v="399"/>
    <n v="25"/>
    <n v="299"/>
    <n v="299"/>
    <x v="1"/>
    <x v="1"/>
    <n v="55"/>
    <s v="No"/>
    <n v="13.32"/>
    <n v="155.38999999999999"/>
    <n v="75.290000000000006"/>
    <n v="299"/>
    <n v="32"/>
    <s v="2026-08"/>
  </r>
  <r>
    <s v="MS100393"/>
    <d v="2026-09-06T00:00:00"/>
    <x v="7"/>
    <s v="Kitchen Storage Set"/>
    <x v="4"/>
    <x v="0"/>
    <s v="Maharashtra"/>
    <n v="1"/>
    <n v="499"/>
    <n v="10"/>
    <n v="449"/>
    <n v="449"/>
    <x v="0"/>
    <x v="1"/>
    <n v="45"/>
    <s v="No"/>
    <n v="19.43"/>
    <n v="200.19"/>
    <n v="184.38"/>
    <n v="449"/>
    <n v="36"/>
    <s v="2026-09"/>
  </r>
  <r>
    <s v="MS100394"/>
    <d v="2026-06-13T00:00:00"/>
    <x v="6"/>
    <s v="Women's Slippers"/>
    <x v="5"/>
    <x v="0"/>
    <s v="Maharashtra"/>
    <n v="1"/>
    <n v="299"/>
    <n v="20"/>
    <n v="239"/>
    <n v="239"/>
    <x v="0"/>
    <x v="1"/>
    <n v="55"/>
    <s v="No"/>
    <n v="15.62"/>
    <n v="119.63"/>
    <n v="48.75"/>
    <n v="239"/>
    <n v="24"/>
    <s v="2026-06"/>
  </r>
  <r>
    <s v="MS100395"/>
    <d v="2026-07-11T00:00:00"/>
    <x v="2"/>
    <s v="Women's Slippers"/>
    <x v="5"/>
    <x v="8"/>
    <s v="Telangana"/>
    <n v="1"/>
    <n v="299"/>
    <n v="25"/>
    <n v="224"/>
    <n v="224"/>
    <x v="0"/>
    <x v="1"/>
    <n v="45"/>
    <s v="No"/>
    <n v="13.86"/>
    <n v="112.89"/>
    <n v="52.25"/>
    <n v="224"/>
    <n v="28"/>
    <s v="2026-07"/>
  </r>
  <r>
    <s v="MS100396"/>
    <d v="2026-08-15T00:00:00"/>
    <x v="5"/>
    <s v="Printed Saree"/>
    <x v="3"/>
    <x v="5"/>
    <s v="Maharashtra"/>
    <n v="1"/>
    <n v="899"/>
    <n v="10"/>
    <n v="809"/>
    <n v="809"/>
    <x v="3"/>
    <x v="0"/>
    <n v="65"/>
    <s v="No"/>
    <n v="55.88"/>
    <n v="403.27"/>
    <n v="284.85000000000002"/>
    <n v="809"/>
    <n v="33"/>
    <s v="2026-08"/>
  </r>
  <r>
    <s v="MS100397"/>
    <d v="2026-06-26T00:00:00"/>
    <x v="6"/>
    <s v="Men's T-Shirt"/>
    <x v="2"/>
    <x v="3"/>
    <s v="West Bengal"/>
    <n v="1"/>
    <n v="449"/>
    <n v="30"/>
    <n v="314"/>
    <n v="314"/>
    <x v="0"/>
    <x v="1"/>
    <n v="45"/>
    <s v="No"/>
    <n v="16.28"/>
    <n v="131.91"/>
    <n v="120.81"/>
    <n v="314"/>
    <n v="26"/>
    <s v="2026-06"/>
  </r>
  <r>
    <s v="MS100398"/>
    <d v="2026-04-09T00:00:00"/>
    <x v="0"/>
    <s v="Kids Dress"/>
    <x v="1"/>
    <x v="8"/>
    <s v="Telangana"/>
    <n v="1"/>
    <n v="599"/>
    <n v="25"/>
    <n v="449"/>
    <n v="449"/>
    <x v="0"/>
    <x v="0"/>
    <n v="55"/>
    <s v="No"/>
    <n v="18.72"/>
    <n v="219.32"/>
    <n v="155.96"/>
    <n v="449"/>
    <n v="15"/>
    <s v="2026-04"/>
  </r>
  <r>
    <s v="MS100399"/>
    <d v="2026-02-05T00:00:00"/>
    <x v="8"/>
    <s v="Oxidised Jewellery Set"/>
    <x v="7"/>
    <x v="4"/>
    <s v="Rajasthan"/>
    <n v="1"/>
    <n v="249"/>
    <n v="30"/>
    <n v="174"/>
    <n v="174"/>
    <x v="2"/>
    <x v="1"/>
    <n v="45"/>
    <s v="Yes"/>
    <n v="13.35"/>
    <n v="84.39"/>
    <n v="31.26"/>
    <n v="174"/>
    <n v="6"/>
    <s v="2026-02"/>
  </r>
  <r>
    <s v="MS100400"/>
    <d v="2026-04-06T00:00:00"/>
    <x v="0"/>
    <s v="Bedsheet"/>
    <x v="4"/>
    <x v="4"/>
    <s v="Rajasthan"/>
    <n v="1"/>
    <n v="699"/>
    <n v="30"/>
    <n v="489"/>
    <n v="489"/>
    <x v="0"/>
    <x v="1"/>
    <n v="35"/>
    <s v="No"/>
    <n v="19.829999999999998"/>
    <n v="221.16"/>
    <n v="213.01"/>
    <n v="489"/>
    <n v="15"/>
    <s v="2026-04"/>
  </r>
  <r>
    <s v="MS100401"/>
    <d v="2026-06-01T00:00:00"/>
    <x v="6"/>
    <s v="Leggings"/>
    <x v="3"/>
    <x v="4"/>
    <s v="Rajasthan"/>
    <n v="2"/>
    <n v="299"/>
    <n v="35"/>
    <n v="194"/>
    <n v="388"/>
    <x v="1"/>
    <x v="1"/>
    <n v="35"/>
    <s v="No"/>
    <n v="23.5"/>
    <n v="166.26"/>
    <n v="163.24"/>
    <n v="194"/>
    <n v="23"/>
    <s v="2026-06"/>
  </r>
  <r>
    <s v="MS100402"/>
    <d v="2026-05-31T00:00:00"/>
    <x v="4"/>
    <s v="Leggings"/>
    <x v="3"/>
    <x v="0"/>
    <s v="Maharashtra"/>
    <n v="1"/>
    <n v="299"/>
    <n v="20"/>
    <n v="239"/>
    <n v="239"/>
    <x v="0"/>
    <x v="1"/>
    <n v="55"/>
    <s v="No"/>
    <n v="14.15"/>
    <n v="103.68"/>
    <n v="66.17"/>
    <n v="239"/>
    <n v="22"/>
    <s v="2026-05"/>
  </r>
  <r>
    <s v="MS100403"/>
    <d v="2026-07-09T00:00:00"/>
    <x v="2"/>
    <s v="Oxidised Jewellery Set"/>
    <x v="7"/>
    <x v="9"/>
    <s v="Gujarat"/>
    <n v="1"/>
    <n v="249"/>
    <n v="20"/>
    <n v="199"/>
    <n v="199"/>
    <x v="4"/>
    <x v="1"/>
    <n v="55"/>
    <s v="No"/>
    <n v="15.05"/>
    <n v="92.81"/>
    <n v="36.14"/>
    <n v="199"/>
    <n v="28"/>
    <s v="2026-07"/>
  </r>
  <r>
    <s v="MS100404"/>
    <d v="2026-08-12T00:00:00"/>
    <x v="5"/>
    <s v="Women's Top"/>
    <x v="3"/>
    <x v="2"/>
    <s v="Maharashtra"/>
    <n v="1"/>
    <n v="399"/>
    <n v="25"/>
    <n v="299"/>
    <n v="299"/>
    <x v="3"/>
    <x v="0"/>
    <n v="35"/>
    <s v="No"/>
    <n v="20.27"/>
    <n v="136.47999999999999"/>
    <n v="107.25"/>
    <n v="299"/>
    <n v="33"/>
    <s v="2026-08"/>
  </r>
  <r>
    <s v="MS100405"/>
    <d v="2026-02-06T00:00:00"/>
    <x v="8"/>
    <s v="Women's Top"/>
    <x v="3"/>
    <x v="1"/>
    <s v="Karnataka"/>
    <n v="1"/>
    <n v="399"/>
    <n v="30"/>
    <n v="279"/>
    <n v="279"/>
    <x v="4"/>
    <x v="0"/>
    <n v="45"/>
    <s v="No"/>
    <n v="22.26"/>
    <n v="119.76"/>
    <n v="91.98"/>
    <n v="279"/>
    <n v="6"/>
    <s v="2026-02"/>
  </r>
  <r>
    <s v="MS100406"/>
    <d v="2026-07-02T00:00:00"/>
    <x v="2"/>
    <s v="Women's Slippers"/>
    <x v="5"/>
    <x v="3"/>
    <s v="West Bengal"/>
    <n v="1"/>
    <n v="299"/>
    <n v="20"/>
    <n v="239"/>
    <n v="239"/>
    <x v="0"/>
    <x v="1"/>
    <n v="45"/>
    <s v="No"/>
    <n v="11.78"/>
    <n v="105.78"/>
    <n v="76.44"/>
    <n v="239"/>
    <n v="27"/>
    <s v="2026-07"/>
  </r>
  <r>
    <s v="MS100407"/>
    <d v="2026-01-13T00:00:00"/>
    <x v="3"/>
    <s v="Makeup Organizer"/>
    <x v="0"/>
    <x v="7"/>
    <s v="Delhi"/>
    <n v="1"/>
    <n v="349"/>
    <n v="25"/>
    <n v="262"/>
    <n v="262"/>
    <x v="0"/>
    <x v="0"/>
    <n v="65"/>
    <s v="No"/>
    <n v="17.309999999999999"/>
    <n v="131.85"/>
    <n v="47.84"/>
    <n v="262"/>
    <n v="3"/>
    <s v="2026-01"/>
  </r>
  <r>
    <s v="MS100408"/>
    <d v="2026-08-05T00:00:00"/>
    <x v="5"/>
    <s v="Oxidised Jewellery Set"/>
    <x v="7"/>
    <x v="5"/>
    <s v="Maharashtra"/>
    <n v="1"/>
    <n v="249"/>
    <n v="35"/>
    <n v="162"/>
    <n v="162"/>
    <x v="0"/>
    <x v="1"/>
    <n v="55"/>
    <s v="No"/>
    <n v="10.95"/>
    <n v="72.13"/>
    <n v="23.92"/>
    <n v="162"/>
    <n v="32"/>
    <s v="2026-08"/>
  </r>
  <r>
    <s v="MS100409"/>
    <d v="2026-03-03T00:00:00"/>
    <x v="1"/>
    <s v="Makeup Organizer"/>
    <x v="0"/>
    <x v="2"/>
    <s v="Maharashtra"/>
    <n v="3"/>
    <n v="349"/>
    <n v="20"/>
    <n v="279"/>
    <n v="837"/>
    <x v="0"/>
    <x v="1"/>
    <n v="55"/>
    <s v="No"/>
    <n v="45.69"/>
    <n v="405.19"/>
    <n v="331.12"/>
    <n v="279"/>
    <n v="10"/>
    <s v="2026-03"/>
  </r>
  <r>
    <s v="MS100410"/>
    <d v="2026-03-25T00:00:00"/>
    <x v="1"/>
    <s v="Kitchen Storage Set"/>
    <x v="4"/>
    <x v="5"/>
    <s v="Maharashtra"/>
    <n v="2"/>
    <n v="499"/>
    <n v="15"/>
    <n v="424"/>
    <n v="848"/>
    <x v="2"/>
    <x v="1"/>
    <n v="35"/>
    <s v="Yes"/>
    <n v="34.630000000000003"/>
    <n v="382.94"/>
    <n v="395.43"/>
    <n v="424"/>
    <n v="13"/>
    <s v="2026-03"/>
  </r>
  <r>
    <s v="MS100411"/>
    <d v="2026-08-05T00:00:00"/>
    <x v="5"/>
    <s v="Kitchen Storage Set"/>
    <x v="4"/>
    <x v="9"/>
    <s v="Gujarat"/>
    <n v="1"/>
    <n v="499"/>
    <n v="40"/>
    <n v="299"/>
    <n v="299"/>
    <x v="0"/>
    <x v="1"/>
    <n v="65"/>
    <s v="No"/>
    <n v="21"/>
    <n v="139.16"/>
    <n v="73.84"/>
    <n v="299"/>
    <n v="32"/>
    <s v="2026-08"/>
  </r>
  <r>
    <s v="MS100412"/>
    <d v="2026-07-06T00:00:00"/>
    <x v="2"/>
    <s v="Leggings"/>
    <x v="3"/>
    <x v="3"/>
    <s v="West Bengal"/>
    <n v="1"/>
    <n v="299"/>
    <n v="10"/>
    <n v="269"/>
    <n v="269"/>
    <x v="0"/>
    <x v="1"/>
    <n v="55"/>
    <s v="No"/>
    <n v="14.48"/>
    <n v="134.91999999999999"/>
    <n v="64.599999999999994"/>
    <n v="269"/>
    <n v="28"/>
    <s v="2026-07"/>
  </r>
  <r>
    <s v="MS100413"/>
    <d v="2026-01-19T00:00:00"/>
    <x v="3"/>
    <s v="Women Kurti Set"/>
    <x v="3"/>
    <x v="1"/>
    <s v="Karnataka"/>
    <n v="1"/>
    <n v="699"/>
    <n v="10"/>
    <n v="629"/>
    <n v="629"/>
    <x v="0"/>
    <x v="1"/>
    <n v="55"/>
    <s v="No"/>
    <n v="36.53"/>
    <n v="286.49"/>
    <n v="250.98"/>
    <n v="629"/>
    <n v="4"/>
    <s v="2026-01"/>
  </r>
  <r>
    <s v="MS100414"/>
    <d v="2026-06-26T00:00:00"/>
    <x v="6"/>
    <s v="Men's T-Shirt"/>
    <x v="2"/>
    <x v="3"/>
    <s v="West Bengal"/>
    <n v="1"/>
    <n v="449"/>
    <n v="20"/>
    <n v="359"/>
    <n v="359"/>
    <x v="3"/>
    <x v="1"/>
    <n v="65"/>
    <s v="No"/>
    <n v="20.93"/>
    <n v="165.03"/>
    <n v="108.04"/>
    <n v="359"/>
    <n v="26"/>
    <s v="2026-06"/>
  </r>
  <r>
    <s v="MS100415"/>
    <d v="2026-04-10T00:00:00"/>
    <x v="0"/>
    <s v="Kitchen Storage Set"/>
    <x v="4"/>
    <x v="5"/>
    <s v="Maharashtra"/>
    <n v="1"/>
    <n v="499"/>
    <n v="10"/>
    <n v="449"/>
    <n v="449"/>
    <x v="0"/>
    <x v="0"/>
    <n v="45"/>
    <s v="No"/>
    <n v="26.53"/>
    <n v="215.6"/>
    <n v="161.87"/>
    <n v="449"/>
    <n v="15"/>
    <s v="2026-04"/>
  </r>
  <r>
    <s v="MS100416"/>
    <d v="2026-08-21T00:00:00"/>
    <x v="5"/>
    <s v="Leggings"/>
    <x v="3"/>
    <x v="1"/>
    <s v="Karnataka"/>
    <n v="1"/>
    <n v="299"/>
    <n v="10"/>
    <n v="269"/>
    <n v="269"/>
    <x v="3"/>
    <x v="1"/>
    <n v="65"/>
    <s v="No"/>
    <n v="18.66"/>
    <n v="118.6"/>
    <n v="66.739999999999995"/>
    <n v="269"/>
    <n v="34"/>
    <s v="2026-08"/>
  </r>
  <r>
    <s v="MS100417"/>
    <d v="2026-03-17T00:00:00"/>
    <x v="1"/>
    <s v="Women Kurti Set"/>
    <x v="3"/>
    <x v="4"/>
    <s v="Rajasthan"/>
    <n v="1"/>
    <n v="699"/>
    <n v="35"/>
    <n v="454"/>
    <n v="454"/>
    <x v="0"/>
    <x v="1"/>
    <n v="35"/>
    <s v="No"/>
    <n v="22.78"/>
    <n v="204.09"/>
    <n v="192.13"/>
    <n v="454"/>
    <n v="12"/>
    <s v="2026-03"/>
  </r>
  <r>
    <s v="MS100418"/>
    <d v="2026-09-22T00:00:00"/>
    <x v="7"/>
    <s v="Kids Dress"/>
    <x v="1"/>
    <x v="3"/>
    <s v="West Bengal"/>
    <n v="1"/>
    <n v="599"/>
    <n v="15"/>
    <n v="509"/>
    <n v="509"/>
    <x v="0"/>
    <x v="0"/>
    <n v="55"/>
    <s v="No"/>
    <n v="38.07"/>
    <n v="232.69"/>
    <n v="183.24"/>
    <n v="509"/>
    <n v="39"/>
    <s v="2026-09"/>
  </r>
  <r>
    <s v="MS100419"/>
    <d v="2026-07-25T00:00:00"/>
    <x v="2"/>
    <s v="Oxidised Jewellery Set"/>
    <x v="7"/>
    <x v="5"/>
    <s v="Maharashtra"/>
    <n v="1"/>
    <n v="249"/>
    <n v="20"/>
    <n v="199"/>
    <n v="199"/>
    <x v="0"/>
    <x v="0"/>
    <n v="45"/>
    <s v="No"/>
    <n v="11.76"/>
    <n v="96.12"/>
    <n v="46.12"/>
    <n v="199"/>
    <n v="30"/>
    <s v="2026-07"/>
  </r>
  <r>
    <s v="MS100420"/>
    <d v="2026-08-11T00:00:00"/>
    <x v="5"/>
    <s v="Printed Saree"/>
    <x v="3"/>
    <x v="5"/>
    <s v="Maharashtra"/>
    <n v="1"/>
    <n v="899"/>
    <n v="40"/>
    <n v="539"/>
    <n v="539"/>
    <x v="0"/>
    <x v="1"/>
    <n v="45"/>
    <s v="No"/>
    <n v="42.86"/>
    <n v="243.93"/>
    <n v="207.21"/>
    <n v="539"/>
    <n v="33"/>
    <s v="2026-08"/>
  </r>
  <r>
    <s v="MS100421"/>
    <d v="2026-02-21T00:00:00"/>
    <x v="8"/>
    <s v="Women's Slippers"/>
    <x v="5"/>
    <x v="6"/>
    <s v="Uttar Pradesh"/>
    <n v="2"/>
    <n v="299"/>
    <n v="20"/>
    <n v="239"/>
    <n v="478"/>
    <x v="0"/>
    <x v="1"/>
    <n v="45"/>
    <s v="No"/>
    <n v="37.020000000000003"/>
    <n v="232.89"/>
    <n v="163.09"/>
    <n v="239"/>
    <n v="8"/>
    <s v="2026-02"/>
  </r>
  <r>
    <s v="MS100422"/>
    <d v="2026-05-24T00:00:00"/>
    <x v="4"/>
    <s v="Women's Top"/>
    <x v="3"/>
    <x v="9"/>
    <s v="Gujarat"/>
    <n v="1"/>
    <n v="399"/>
    <n v="15"/>
    <n v="339"/>
    <n v="339"/>
    <x v="4"/>
    <x v="1"/>
    <n v="65"/>
    <s v="No"/>
    <n v="24.6"/>
    <n v="151.88"/>
    <n v="97.52"/>
    <n v="339"/>
    <n v="21"/>
    <s v="2026-05"/>
  </r>
  <r>
    <s v="MS100423"/>
    <d v="2026-03-10T00:00:00"/>
    <x v="1"/>
    <s v="Printed Saree"/>
    <x v="3"/>
    <x v="1"/>
    <s v="Karnataka"/>
    <n v="1"/>
    <n v="899"/>
    <n v="10"/>
    <n v="809"/>
    <n v="809"/>
    <x v="0"/>
    <x v="1"/>
    <n v="55"/>
    <s v="No"/>
    <n v="61.56"/>
    <n v="370.78"/>
    <n v="321.66000000000003"/>
    <n v="809"/>
    <n v="11"/>
    <s v="2026-03"/>
  </r>
  <r>
    <s v="MS100424"/>
    <d v="2026-04-09T00:00:00"/>
    <x v="0"/>
    <s v="Women Kurti Set"/>
    <x v="3"/>
    <x v="5"/>
    <s v="Maharashtra"/>
    <n v="1"/>
    <n v="699"/>
    <n v="15"/>
    <n v="594"/>
    <n v="594"/>
    <x v="0"/>
    <x v="0"/>
    <n v="45"/>
    <s v="No"/>
    <n v="42.76"/>
    <n v="282.43"/>
    <n v="223.81"/>
    <n v="594"/>
    <n v="15"/>
    <s v="2026-04"/>
  </r>
  <r>
    <s v="MS100425"/>
    <d v="2026-01-25T00:00:00"/>
    <x v="3"/>
    <s v="Leggings"/>
    <x v="3"/>
    <x v="5"/>
    <s v="Maharashtra"/>
    <n v="2"/>
    <n v="299"/>
    <n v="25"/>
    <n v="224"/>
    <n v="448"/>
    <x v="0"/>
    <x v="1"/>
    <n v="65"/>
    <s v="No"/>
    <n v="33.44"/>
    <n v="195.54"/>
    <n v="154.02000000000001"/>
    <n v="224"/>
    <n v="4"/>
    <s v="2026-01"/>
  </r>
  <r>
    <s v="MS100426"/>
    <d v="2026-02-22T00:00:00"/>
    <x v="8"/>
    <s v="Handbag"/>
    <x v="6"/>
    <x v="4"/>
    <s v="Rajasthan"/>
    <n v="1"/>
    <n v="549"/>
    <n v="5"/>
    <n v="522"/>
    <n v="522"/>
    <x v="1"/>
    <x v="1"/>
    <n v="35"/>
    <s v="No"/>
    <n v="33.5"/>
    <n v="259.10000000000002"/>
    <n v="194.4"/>
    <n v="522"/>
    <n v="8"/>
    <s v="2026-02"/>
  </r>
  <r>
    <s v="MS100427"/>
    <d v="2026-05-31T00:00:00"/>
    <x v="4"/>
    <s v="Makeup Organizer"/>
    <x v="0"/>
    <x v="4"/>
    <s v="Rajasthan"/>
    <n v="1"/>
    <n v="349"/>
    <n v="25"/>
    <n v="262"/>
    <n v="262"/>
    <x v="0"/>
    <x v="1"/>
    <n v="55"/>
    <s v="No"/>
    <n v="12.41"/>
    <n v="115.34"/>
    <n v="79.25"/>
    <n v="262"/>
    <n v="22"/>
    <s v="2026-05"/>
  </r>
  <r>
    <s v="MS100428"/>
    <d v="2026-05-24T00:00:00"/>
    <x v="4"/>
    <s v="Leggings"/>
    <x v="3"/>
    <x v="9"/>
    <s v="Gujarat"/>
    <n v="1"/>
    <n v="299"/>
    <n v="20"/>
    <n v="239"/>
    <n v="239"/>
    <x v="0"/>
    <x v="1"/>
    <n v="55"/>
    <s v="No"/>
    <n v="11.42"/>
    <n v="111.72"/>
    <n v="60.86"/>
    <n v="239"/>
    <n v="21"/>
    <s v="2026-05"/>
  </r>
  <r>
    <s v="MS100429"/>
    <d v="2026-02-26T00:00:00"/>
    <x v="8"/>
    <s v="Handbag"/>
    <x v="6"/>
    <x v="6"/>
    <s v="Uttar Pradesh"/>
    <n v="1"/>
    <n v="549"/>
    <n v="25"/>
    <n v="412"/>
    <n v="412"/>
    <x v="4"/>
    <x v="0"/>
    <n v="65"/>
    <s v="No"/>
    <n v="20.73"/>
    <n v="177.72"/>
    <n v="148.55000000000001"/>
    <n v="412"/>
    <n v="9"/>
    <s v="2026-02"/>
  </r>
  <r>
    <s v="MS100430"/>
    <d v="2026-02-08T00:00:00"/>
    <x v="8"/>
    <s v="Oxidised Jewellery Set"/>
    <x v="7"/>
    <x v="9"/>
    <s v="Gujarat"/>
    <n v="2"/>
    <n v="249"/>
    <n v="35"/>
    <n v="162"/>
    <n v="324"/>
    <x v="0"/>
    <x v="0"/>
    <n v="65"/>
    <s v="No"/>
    <n v="13.55"/>
    <n v="166.73"/>
    <n v="78.72"/>
    <n v="162"/>
    <n v="6"/>
    <s v="2026-02"/>
  </r>
  <r>
    <s v="MS100431"/>
    <d v="2026-04-19T00:00:00"/>
    <x v="0"/>
    <s v="Men's T-Shirt"/>
    <x v="2"/>
    <x v="2"/>
    <s v="Maharashtra"/>
    <n v="1"/>
    <n v="449"/>
    <n v="10"/>
    <n v="404"/>
    <n v="404"/>
    <x v="0"/>
    <x v="1"/>
    <n v="45"/>
    <s v="No"/>
    <n v="28.39"/>
    <n v="197.17"/>
    <n v="133.44"/>
    <n v="404"/>
    <n v="16"/>
    <s v="2026-04"/>
  </r>
  <r>
    <s v="MS100432"/>
    <d v="2026-06-30T00:00:00"/>
    <x v="6"/>
    <s v="Oxidised Jewellery Set"/>
    <x v="7"/>
    <x v="9"/>
    <s v="Gujarat"/>
    <n v="1"/>
    <n v="249"/>
    <n v="40"/>
    <n v="149"/>
    <n v="149"/>
    <x v="0"/>
    <x v="0"/>
    <n v="35"/>
    <s v="No"/>
    <n v="6.5"/>
    <n v="66.84"/>
    <n v="40.659999999999997"/>
    <n v="149"/>
    <n v="27"/>
    <s v="2026-06"/>
  </r>
  <r>
    <s v="MS100433"/>
    <d v="2026-02-11T00:00:00"/>
    <x v="8"/>
    <s v="Kitchen Storage Set"/>
    <x v="4"/>
    <x v="7"/>
    <s v="Delhi"/>
    <n v="1"/>
    <n v="499"/>
    <n v="30"/>
    <n v="349"/>
    <n v="349"/>
    <x v="0"/>
    <x v="1"/>
    <n v="65"/>
    <s v="No"/>
    <n v="14.3"/>
    <n v="158.28"/>
    <n v="111.42"/>
    <n v="349"/>
    <n v="7"/>
    <s v="2026-02"/>
  </r>
  <r>
    <s v="MS100434"/>
    <d v="2026-07-05T00:00:00"/>
    <x v="2"/>
    <s v="Printed Saree"/>
    <x v="3"/>
    <x v="7"/>
    <s v="Delhi"/>
    <n v="3"/>
    <n v="899"/>
    <n v="20"/>
    <n v="719"/>
    <n v="2157"/>
    <x v="2"/>
    <x v="1"/>
    <n v="55"/>
    <s v="Yes"/>
    <n v="120.2"/>
    <n v="957.04"/>
    <n v="1024.76"/>
    <n v="719"/>
    <n v="27"/>
    <s v="2026-07"/>
  </r>
  <r>
    <s v="MS100435"/>
    <d v="2026-08-11T00:00:00"/>
    <x v="5"/>
    <s v="Leggings"/>
    <x v="3"/>
    <x v="0"/>
    <s v="Maharashtra"/>
    <n v="2"/>
    <n v="299"/>
    <n v="25"/>
    <n v="224"/>
    <n v="448"/>
    <x v="0"/>
    <x v="1"/>
    <n v="45"/>
    <s v="No"/>
    <n v="23.87"/>
    <n v="223.18"/>
    <n v="155.94999999999999"/>
    <n v="224"/>
    <n v="33"/>
    <s v="2026-08"/>
  </r>
  <r>
    <s v="MS100436"/>
    <d v="2026-05-02T00:00:00"/>
    <x v="4"/>
    <s v="Kitchen Storage Set"/>
    <x v="4"/>
    <x v="4"/>
    <s v="Rajasthan"/>
    <n v="2"/>
    <n v="499"/>
    <n v="40"/>
    <n v="299"/>
    <n v="598"/>
    <x v="0"/>
    <x v="1"/>
    <n v="45"/>
    <s v="No"/>
    <n v="46.92"/>
    <n v="294.83"/>
    <n v="211.25"/>
    <n v="299"/>
    <n v="18"/>
    <s v="2026-05"/>
  </r>
  <r>
    <s v="MS100437"/>
    <d v="2026-05-13T00:00:00"/>
    <x v="4"/>
    <s v="Women Kurti Set"/>
    <x v="3"/>
    <x v="7"/>
    <s v="Delhi"/>
    <n v="1"/>
    <n v="699"/>
    <n v="25"/>
    <n v="524"/>
    <n v="524"/>
    <x v="0"/>
    <x v="1"/>
    <n v="55"/>
    <s v="No"/>
    <n v="27.96"/>
    <n v="258.38"/>
    <n v="182.66"/>
    <n v="524"/>
    <n v="20"/>
    <s v="2026-05"/>
  </r>
  <r>
    <s v="MS100438"/>
    <d v="2026-06-12T00:00:00"/>
    <x v="6"/>
    <s v="Kids Dress"/>
    <x v="1"/>
    <x v="2"/>
    <s v="Maharashtra"/>
    <n v="2"/>
    <n v="599"/>
    <n v="30"/>
    <n v="419"/>
    <n v="838"/>
    <x v="1"/>
    <x v="0"/>
    <n v="35"/>
    <s v="No"/>
    <n v="65.61"/>
    <n v="426.55"/>
    <n v="310.83999999999997"/>
    <n v="419"/>
    <n v="24"/>
    <s v="2026-06"/>
  </r>
  <r>
    <s v="MS100439"/>
    <d v="2026-08-03T00:00:00"/>
    <x v="5"/>
    <s v="Men's T-Shirt"/>
    <x v="2"/>
    <x v="9"/>
    <s v="Gujarat"/>
    <n v="1"/>
    <n v="449"/>
    <n v="20"/>
    <n v="359"/>
    <n v="359"/>
    <x v="2"/>
    <x v="0"/>
    <n v="65"/>
    <s v="Yes"/>
    <n v="23.45"/>
    <n v="178.38"/>
    <n v="92.17"/>
    <n v="359"/>
    <n v="32"/>
    <s v="2026-08"/>
  </r>
  <r>
    <s v="MS100440"/>
    <d v="2026-08-09T00:00:00"/>
    <x v="5"/>
    <s v="Men's T-Shirt"/>
    <x v="2"/>
    <x v="4"/>
    <s v="Rajasthan"/>
    <n v="2"/>
    <n v="449"/>
    <n v="35"/>
    <n v="292"/>
    <n v="584"/>
    <x v="4"/>
    <x v="1"/>
    <n v="35"/>
    <s v="No"/>
    <n v="32.92"/>
    <n v="265.98"/>
    <n v="250.1"/>
    <n v="292"/>
    <n v="32"/>
    <s v="2026-08"/>
  </r>
  <r>
    <s v="MS100441"/>
    <d v="2026-08-23T00:00:00"/>
    <x v="5"/>
    <s v="Oxidised Jewellery Set"/>
    <x v="7"/>
    <x v="4"/>
    <s v="Rajasthan"/>
    <n v="1"/>
    <n v="249"/>
    <n v="35"/>
    <n v="162"/>
    <n v="162"/>
    <x v="0"/>
    <x v="1"/>
    <n v="55"/>
    <s v="No"/>
    <n v="7.53"/>
    <n v="75.680000000000007"/>
    <n v="23.79"/>
    <n v="162"/>
    <n v="34"/>
    <s v="2026-08"/>
  </r>
  <r>
    <s v="MS100442"/>
    <d v="2026-05-26T00:00:00"/>
    <x v="4"/>
    <s v="Women's Slippers"/>
    <x v="5"/>
    <x v="0"/>
    <s v="Maharashtra"/>
    <n v="1"/>
    <n v="299"/>
    <n v="30"/>
    <n v="209"/>
    <n v="209"/>
    <x v="0"/>
    <x v="1"/>
    <n v="55"/>
    <s v="No"/>
    <n v="14.88"/>
    <n v="99.57"/>
    <n v="39.549999999999997"/>
    <n v="209"/>
    <n v="22"/>
    <s v="2026-05"/>
  </r>
  <r>
    <s v="MS100443"/>
    <d v="2026-08-27T00:00:00"/>
    <x v="5"/>
    <s v="Kitchen Storage Set"/>
    <x v="4"/>
    <x v="8"/>
    <s v="Telangana"/>
    <n v="1"/>
    <n v="499"/>
    <n v="30"/>
    <n v="349"/>
    <n v="349"/>
    <x v="3"/>
    <x v="1"/>
    <n v="65"/>
    <s v="No"/>
    <n v="15.78"/>
    <n v="161.94999999999999"/>
    <n v="106.27"/>
    <n v="349"/>
    <n v="35"/>
    <s v="2026-08"/>
  </r>
  <r>
    <s v="MS100444"/>
    <d v="2026-03-17T00:00:00"/>
    <x v="1"/>
    <s v="Leggings"/>
    <x v="3"/>
    <x v="8"/>
    <s v="Telangana"/>
    <n v="1"/>
    <n v="299"/>
    <n v="25"/>
    <n v="224"/>
    <n v="224"/>
    <x v="0"/>
    <x v="1"/>
    <n v="45"/>
    <s v="No"/>
    <n v="9.02"/>
    <n v="105.2"/>
    <n v="64.78"/>
    <n v="224"/>
    <n v="12"/>
    <s v="2026-03"/>
  </r>
  <r>
    <s v="MS100445"/>
    <d v="2026-01-09T00:00:00"/>
    <x v="3"/>
    <s v="Leggings"/>
    <x v="3"/>
    <x v="9"/>
    <s v="Gujarat"/>
    <n v="1"/>
    <n v="299"/>
    <n v="25"/>
    <n v="224"/>
    <n v="224"/>
    <x v="2"/>
    <x v="1"/>
    <n v="55"/>
    <s v="Yes"/>
    <n v="14.1"/>
    <n v="95.44"/>
    <n v="59.46"/>
    <n v="224"/>
    <n v="2"/>
    <s v="2026-01"/>
  </r>
  <r>
    <s v="MS100446"/>
    <d v="2026-03-15T00:00:00"/>
    <x v="1"/>
    <s v="Women Kurti Set"/>
    <x v="3"/>
    <x v="1"/>
    <s v="Karnataka"/>
    <n v="1"/>
    <n v="699"/>
    <n v="20"/>
    <n v="559"/>
    <n v="559"/>
    <x v="4"/>
    <x v="1"/>
    <n v="65"/>
    <s v="No"/>
    <n v="28.52"/>
    <n v="262.42"/>
    <n v="203.06"/>
    <n v="559"/>
    <n v="11"/>
    <s v="2026-03"/>
  </r>
  <r>
    <s v="MS100447"/>
    <d v="2026-09-10T00:00:00"/>
    <x v="7"/>
    <s v="Printed Saree"/>
    <x v="3"/>
    <x v="3"/>
    <s v="West Bengal"/>
    <n v="1"/>
    <n v="899"/>
    <n v="25"/>
    <n v="674"/>
    <n v="674"/>
    <x v="1"/>
    <x v="1"/>
    <n v="35"/>
    <s v="No"/>
    <n v="47.18"/>
    <n v="344.62"/>
    <n v="247.2"/>
    <n v="674"/>
    <n v="37"/>
    <s v="2026-09"/>
  </r>
  <r>
    <s v="MS100448"/>
    <d v="2026-08-18T00:00:00"/>
    <x v="5"/>
    <s v="Handbag"/>
    <x v="6"/>
    <x v="2"/>
    <s v="Maharashtra"/>
    <n v="1"/>
    <n v="549"/>
    <n v="15"/>
    <n v="467"/>
    <n v="467"/>
    <x v="0"/>
    <x v="0"/>
    <n v="45"/>
    <s v="No"/>
    <n v="26.82"/>
    <n v="223.88"/>
    <n v="171.3"/>
    <n v="467"/>
    <n v="34"/>
    <s v="2026-08"/>
  </r>
  <r>
    <s v="MS100449"/>
    <d v="2026-01-07T00:00:00"/>
    <x v="3"/>
    <s v="Leggings"/>
    <x v="3"/>
    <x v="3"/>
    <s v="West Bengal"/>
    <n v="1"/>
    <n v="299"/>
    <n v="10"/>
    <n v="269"/>
    <n v="269"/>
    <x v="0"/>
    <x v="1"/>
    <n v="45"/>
    <s v="No"/>
    <n v="18.45"/>
    <n v="128.55000000000001"/>
    <n v="77"/>
    <n v="269"/>
    <n v="2"/>
    <s v="2026-01"/>
  </r>
  <r>
    <s v="MS100450"/>
    <d v="2026-06-23T00:00:00"/>
    <x v="6"/>
    <s v="Kitchen Storage Set"/>
    <x v="4"/>
    <x v="1"/>
    <s v="Karnataka"/>
    <n v="1"/>
    <n v="499"/>
    <n v="25"/>
    <n v="374"/>
    <n v="374"/>
    <x v="3"/>
    <x v="1"/>
    <n v="65"/>
    <s v="No"/>
    <n v="18.940000000000001"/>
    <n v="169.53"/>
    <n v="120.53"/>
    <n v="374"/>
    <n v="26"/>
    <s v="2026-06"/>
  </r>
  <r>
    <s v="MS100451"/>
    <d v="2026-05-21T00:00:00"/>
    <x v="4"/>
    <s v="Women's Top"/>
    <x v="3"/>
    <x v="4"/>
    <s v="Rajasthan"/>
    <n v="1"/>
    <n v="399"/>
    <n v="30"/>
    <n v="279"/>
    <n v="279"/>
    <x v="4"/>
    <x v="0"/>
    <n v="35"/>
    <s v="No"/>
    <n v="21.56"/>
    <n v="144.99"/>
    <n v="77.45"/>
    <n v="279"/>
    <n v="21"/>
    <s v="2026-05"/>
  </r>
  <r>
    <s v="MS100452"/>
    <d v="2026-06-17T00:00:00"/>
    <x v="6"/>
    <s v="Kitchen Storage Set"/>
    <x v="4"/>
    <x v="6"/>
    <s v="Uttar Pradesh"/>
    <n v="1"/>
    <n v="499"/>
    <n v="15"/>
    <n v="424"/>
    <n v="424"/>
    <x v="0"/>
    <x v="1"/>
    <n v="45"/>
    <s v="No"/>
    <n v="21.31"/>
    <n v="187.44"/>
    <n v="170.25"/>
    <n v="424"/>
    <n v="25"/>
    <s v="2026-06"/>
  </r>
  <r>
    <s v="MS100453"/>
    <d v="2026-06-19T00:00:00"/>
    <x v="6"/>
    <s v="Bedsheet"/>
    <x v="4"/>
    <x v="6"/>
    <s v="Uttar Pradesh"/>
    <n v="1"/>
    <n v="699"/>
    <n v="20"/>
    <n v="559"/>
    <n v="559"/>
    <x v="4"/>
    <x v="1"/>
    <n v="35"/>
    <s v="No"/>
    <n v="39.35"/>
    <n v="252.25"/>
    <n v="232.4"/>
    <n v="559"/>
    <n v="25"/>
    <s v="2026-06"/>
  </r>
  <r>
    <s v="MS100454"/>
    <d v="2026-05-02T00:00:00"/>
    <x v="4"/>
    <s v="Oxidised Jewellery Set"/>
    <x v="7"/>
    <x v="4"/>
    <s v="Rajasthan"/>
    <n v="3"/>
    <n v="249"/>
    <n v="25"/>
    <n v="187"/>
    <n v="561"/>
    <x v="2"/>
    <x v="1"/>
    <n v="45"/>
    <s v="Yes"/>
    <n v="30.83"/>
    <n v="285.33999999999997"/>
    <n v="199.83"/>
    <n v="187"/>
    <n v="18"/>
    <s v="2026-05"/>
  </r>
  <r>
    <s v="MS100455"/>
    <d v="2026-07-13T00:00:00"/>
    <x v="2"/>
    <s v="Printed Saree"/>
    <x v="3"/>
    <x v="1"/>
    <s v="Karnataka"/>
    <n v="1"/>
    <n v="899"/>
    <n v="10"/>
    <n v="809"/>
    <n v="809"/>
    <x v="3"/>
    <x v="0"/>
    <n v="35"/>
    <s v="No"/>
    <n v="46.22"/>
    <n v="390.91"/>
    <n v="336.87"/>
    <n v="809"/>
    <n v="29"/>
    <s v="2026-07"/>
  </r>
  <r>
    <s v="MS100456"/>
    <d v="2026-01-05T00:00:00"/>
    <x v="3"/>
    <s v="Handbag"/>
    <x v="6"/>
    <x v="5"/>
    <s v="Maharashtra"/>
    <n v="1"/>
    <n v="549"/>
    <n v="15"/>
    <n v="467"/>
    <n v="467"/>
    <x v="0"/>
    <x v="1"/>
    <n v="35"/>
    <s v="No"/>
    <n v="23.02"/>
    <n v="215.07"/>
    <n v="193.91"/>
    <n v="467"/>
    <n v="2"/>
    <s v="2026-01"/>
  </r>
  <r>
    <s v="MS100457"/>
    <d v="2026-01-29T00:00:00"/>
    <x v="3"/>
    <s v="Men's T-Shirt"/>
    <x v="2"/>
    <x v="3"/>
    <s v="West Bengal"/>
    <n v="1"/>
    <n v="449"/>
    <n v="30"/>
    <n v="314"/>
    <n v="314"/>
    <x v="4"/>
    <x v="0"/>
    <n v="55"/>
    <s v="No"/>
    <n v="14.36"/>
    <n v="152.53"/>
    <n v="92.11"/>
    <n v="314"/>
    <n v="5"/>
    <s v="2026-01"/>
  </r>
  <r>
    <s v="MS100458"/>
    <d v="2026-06-14T00:00:00"/>
    <x v="6"/>
    <s v="Handbag"/>
    <x v="6"/>
    <x v="2"/>
    <s v="Maharashtra"/>
    <n v="1"/>
    <n v="549"/>
    <n v="20"/>
    <n v="439"/>
    <n v="439"/>
    <x v="0"/>
    <x v="1"/>
    <n v="65"/>
    <s v="No"/>
    <n v="19.010000000000002"/>
    <n v="210.72"/>
    <n v="144.27000000000001"/>
    <n v="439"/>
    <n v="24"/>
    <s v="2026-06"/>
  </r>
  <r>
    <s v="MS100459"/>
    <d v="2026-05-16T00:00:00"/>
    <x v="4"/>
    <s v="Women Kurti Set"/>
    <x v="3"/>
    <x v="4"/>
    <s v="Rajasthan"/>
    <n v="2"/>
    <n v="699"/>
    <n v="30"/>
    <n v="489"/>
    <n v="978"/>
    <x v="0"/>
    <x v="1"/>
    <n v="65"/>
    <s v="No"/>
    <n v="42.93"/>
    <n v="494.22"/>
    <n v="375.85"/>
    <n v="489"/>
    <n v="20"/>
    <s v="2026-05"/>
  </r>
  <r>
    <s v="MS100460"/>
    <d v="2026-05-25T00:00:00"/>
    <x v="4"/>
    <s v="Oxidised Jewellery Set"/>
    <x v="7"/>
    <x v="2"/>
    <s v="Maharashtra"/>
    <n v="1"/>
    <n v="249"/>
    <n v="15"/>
    <n v="212"/>
    <n v="212"/>
    <x v="0"/>
    <x v="0"/>
    <n v="45"/>
    <s v="No"/>
    <n v="11.13"/>
    <n v="106.05"/>
    <n v="49.82"/>
    <n v="212"/>
    <n v="22"/>
    <s v="2026-05"/>
  </r>
  <r>
    <s v="MS100461"/>
    <d v="2026-08-05T00:00:00"/>
    <x v="5"/>
    <s v="Handbag"/>
    <x v="6"/>
    <x v="5"/>
    <s v="Maharashtra"/>
    <n v="1"/>
    <n v="549"/>
    <n v="25"/>
    <n v="412"/>
    <n v="412"/>
    <x v="0"/>
    <x v="1"/>
    <n v="55"/>
    <s v="No"/>
    <n v="29.86"/>
    <n v="212"/>
    <n v="115.14"/>
    <n v="412"/>
    <n v="32"/>
    <s v="2026-08"/>
  </r>
  <r>
    <s v="MS100462"/>
    <d v="2026-05-12T00:00:00"/>
    <x v="4"/>
    <s v="Kids Dress"/>
    <x v="1"/>
    <x v="4"/>
    <s v="Rajasthan"/>
    <n v="1"/>
    <n v="599"/>
    <n v="25"/>
    <n v="449"/>
    <n v="449"/>
    <x v="3"/>
    <x v="0"/>
    <n v="65"/>
    <s v="No"/>
    <n v="29.58"/>
    <n v="216.64"/>
    <n v="137.78"/>
    <n v="449"/>
    <n v="20"/>
    <s v="2026-05"/>
  </r>
  <r>
    <s v="MS100463"/>
    <d v="2026-03-11T00:00:00"/>
    <x v="1"/>
    <s v="Men's T-Shirt"/>
    <x v="2"/>
    <x v="4"/>
    <s v="Rajasthan"/>
    <n v="1"/>
    <n v="449"/>
    <n v="20"/>
    <n v="359"/>
    <n v="359"/>
    <x v="1"/>
    <x v="0"/>
    <n v="65"/>
    <s v="No"/>
    <n v="17.149999999999999"/>
    <n v="180.24"/>
    <n v="96.61"/>
    <n v="359"/>
    <n v="11"/>
    <s v="2026-03"/>
  </r>
  <r>
    <s v="MS100464"/>
    <d v="2026-09-09T00:00:00"/>
    <x v="7"/>
    <s v="Women Kurti Set"/>
    <x v="3"/>
    <x v="0"/>
    <s v="Maharashtra"/>
    <n v="1"/>
    <n v="699"/>
    <n v="25"/>
    <n v="524"/>
    <n v="524"/>
    <x v="0"/>
    <x v="0"/>
    <n v="35"/>
    <s v="No"/>
    <n v="30.62"/>
    <n v="263.5"/>
    <n v="194.88"/>
    <n v="524"/>
    <n v="37"/>
    <s v="2026-09"/>
  </r>
  <r>
    <s v="MS100465"/>
    <d v="2026-07-01T00:00:00"/>
    <x v="2"/>
    <s v="Bedsheet"/>
    <x v="4"/>
    <x v="7"/>
    <s v="Delhi"/>
    <n v="2"/>
    <n v="699"/>
    <n v="25"/>
    <n v="524"/>
    <n v="1048"/>
    <x v="3"/>
    <x v="1"/>
    <n v="55"/>
    <s v="No"/>
    <n v="47.87"/>
    <n v="472.04"/>
    <n v="473.09"/>
    <n v="524"/>
    <n v="27"/>
    <s v="2026-07"/>
  </r>
  <r>
    <s v="MS100466"/>
    <d v="2026-06-16T00:00:00"/>
    <x v="6"/>
    <s v="Printed Saree"/>
    <x v="3"/>
    <x v="0"/>
    <s v="Maharashtra"/>
    <n v="1"/>
    <n v="899"/>
    <n v="15"/>
    <n v="764"/>
    <n v="764"/>
    <x v="0"/>
    <x v="1"/>
    <n v="55"/>
    <s v="No"/>
    <n v="51.32"/>
    <n v="369.12"/>
    <n v="288.56"/>
    <n v="764"/>
    <n v="25"/>
    <s v="2026-06"/>
  </r>
  <r>
    <s v="MS100467"/>
    <d v="2026-04-01T00:00:00"/>
    <x v="0"/>
    <s v="Handbag"/>
    <x v="6"/>
    <x v="3"/>
    <s v="West Bengal"/>
    <n v="1"/>
    <n v="549"/>
    <n v="40"/>
    <n v="329"/>
    <n v="329"/>
    <x v="0"/>
    <x v="0"/>
    <n v="65"/>
    <s v="No"/>
    <n v="13.3"/>
    <n v="156.09"/>
    <n v="94.61"/>
    <n v="329"/>
    <n v="14"/>
    <s v="2026-04"/>
  </r>
  <r>
    <s v="MS100468"/>
    <d v="2026-07-21T00:00:00"/>
    <x v="2"/>
    <s v="Women's Slippers"/>
    <x v="5"/>
    <x v="3"/>
    <s v="West Bengal"/>
    <n v="1"/>
    <n v="299"/>
    <n v="10"/>
    <n v="269"/>
    <n v="269"/>
    <x v="0"/>
    <x v="1"/>
    <n v="55"/>
    <s v="No"/>
    <n v="16.2"/>
    <n v="126.64"/>
    <n v="71.16"/>
    <n v="269"/>
    <n v="30"/>
    <s v="2026-07"/>
  </r>
  <r>
    <s v="MS100469"/>
    <d v="2026-01-19T00:00:00"/>
    <x v="3"/>
    <s v="Men's T-Shirt"/>
    <x v="2"/>
    <x v="9"/>
    <s v="Gujarat"/>
    <n v="1"/>
    <n v="449"/>
    <n v="20"/>
    <n v="359"/>
    <n v="359"/>
    <x v="1"/>
    <x v="0"/>
    <n v="45"/>
    <s v="No"/>
    <n v="20.32"/>
    <n v="165.94"/>
    <n v="127.74"/>
    <n v="359"/>
    <n v="4"/>
    <s v="2026-01"/>
  </r>
  <r>
    <s v="MS100470"/>
    <d v="2026-02-08T00:00:00"/>
    <x v="8"/>
    <s v="Handbag"/>
    <x v="6"/>
    <x v="8"/>
    <s v="Telangana"/>
    <n v="2"/>
    <n v="549"/>
    <n v="25"/>
    <n v="412"/>
    <n v="824"/>
    <x v="0"/>
    <x v="0"/>
    <n v="35"/>
    <s v="No"/>
    <n v="42.09"/>
    <n v="349.88"/>
    <n v="397.03"/>
    <n v="412"/>
    <n v="6"/>
    <s v="2026-02"/>
  </r>
  <r>
    <s v="MS100471"/>
    <d v="2026-05-06T00:00:00"/>
    <x v="4"/>
    <s v="Oxidised Jewellery Set"/>
    <x v="7"/>
    <x v="0"/>
    <s v="Maharashtra"/>
    <n v="2"/>
    <n v="249"/>
    <n v="15"/>
    <n v="212"/>
    <n v="424"/>
    <x v="1"/>
    <x v="1"/>
    <n v="35"/>
    <s v="No"/>
    <n v="32.57"/>
    <n v="192.71"/>
    <n v="163.72"/>
    <n v="212"/>
    <n v="19"/>
    <s v="2026-05"/>
  </r>
  <r>
    <s v="MS100472"/>
    <d v="2026-06-22T00:00:00"/>
    <x v="6"/>
    <s v="Men's T-Shirt"/>
    <x v="2"/>
    <x v="3"/>
    <s v="West Bengal"/>
    <n v="1"/>
    <n v="449"/>
    <n v="15"/>
    <n v="382"/>
    <n v="382"/>
    <x v="0"/>
    <x v="0"/>
    <n v="65"/>
    <s v="No"/>
    <n v="23.12"/>
    <n v="171.19"/>
    <n v="122.69"/>
    <n v="382"/>
    <n v="26"/>
    <s v="2026-06"/>
  </r>
  <r>
    <s v="MS100473"/>
    <d v="2026-05-21T00:00:00"/>
    <x v="4"/>
    <s v="Leggings"/>
    <x v="3"/>
    <x v="2"/>
    <s v="Maharashtra"/>
    <n v="1"/>
    <n v="299"/>
    <n v="35"/>
    <n v="194"/>
    <n v="194"/>
    <x v="0"/>
    <x v="1"/>
    <n v="65"/>
    <s v="No"/>
    <n v="10.15"/>
    <n v="86.18"/>
    <n v="32.67"/>
    <n v="194"/>
    <n v="21"/>
    <s v="2026-05"/>
  </r>
  <r>
    <s v="MS100474"/>
    <d v="2026-08-30T00:00:00"/>
    <x v="5"/>
    <s v="Kids Dress"/>
    <x v="1"/>
    <x v="2"/>
    <s v="Maharashtra"/>
    <n v="1"/>
    <n v="599"/>
    <n v="10"/>
    <n v="539"/>
    <n v="539"/>
    <x v="0"/>
    <x v="0"/>
    <n v="45"/>
    <s v="No"/>
    <n v="23.89"/>
    <n v="238.92"/>
    <n v="231.19"/>
    <n v="539"/>
    <n v="35"/>
    <s v="2026-08"/>
  </r>
  <r>
    <s v="MS100475"/>
    <d v="2026-08-08T00:00:00"/>
    <x v="5"/>
    <s v="Men's T-Shirt"/>
    <x v="2"/>
    <x v="6"/>
    <s v="Uttar Pradesh"/>
    <n v="1"/>
    <n v="449"/>
    <n v="10"/>
    <n v="404"/>
    <n v="404"/>
    <x v="0"/>
    <x v="1"/>
    <n v="35"/>
    <s v="No"/>
    <n v="23.34"/>
    <n v="196.97"/>
    <n v="148.69"/>
    <n v="404"/>
    <n v="32"/>
    <s v="2026-08"/>
  </r>
  <r>
    <s v="MS100476"/>
    <d v="2026-05-06T00:00:00"/>
    <x v="4"/>
    <s v="Printed Saree"/>
    <x v="3"/>
    <x v="4"/>
    <s v="Rajasthan"/>
    <n v="1"/>
    <n v="899"/>
    <n v="5"/>
    <n v="854"/>
    <n v="854"/>
    <x v="0"/>
    <x v="0"/>
    <n v="65"/>
    <s v="No"/>
    <n v="67.94"/>
    <n v="399.95"/>
    <n v="321.11"/>
    <n v="854"/>
    <n v="19"/>
    <s v="2026-05"/>
  </r>
  <r>
    <s v="MS100477"/>
    <d v="2026-02-27T00:00:00"/>
    <x v="8"/>
    <s v="Men's T-Shirt"/>
    <x v="2"/>
    <x v="9"/>
    <s v="Gujarat"/>
    <n v="1"/>
    <n v="449"/>
    <n v="20"/>
    <n v="359"/>
    <n v="359"/>
    <x v="2"/>
    <x v="1"/>
    <n v="65"/>
    <s v="Yes"/>
    <n v="26.75"/>
    <n v="160.37"/>
    <n v="106.88"/>
    <n v="359"/>
    <n v="9"/>
    <s v="2026-02"/>
  </r>
  <r>
    <s v="MS100478"/>
    <d v="2026-05-28T00:00:00"/>
    <x v="4"/>
    <s v="Kitchen Storage Set"/>
    <x v="4"/>
    <x v="5"/>
    <s v="Maharashtra"/>
    <n v="1"/>
    <n v="499"/>
    <n v="30"/>
    <n v="349"/>
    <n v="349"/>
    <x v="0"/>
    <x v="0"/>
    <n v="65"/>
    <s v="No"/>
    <n v="14.92"/>
    <n v="181.2"/>
    <n v="87.88"/>
    <n v="349"/>
    <n v="22"/>
    <s v="2026-05"/>
  </r>
  <r>
    <s v="MS100479"/>
    <d v="2026-01-01T00:00:00"/>
    <x v="3"/>
    <s v="Women Kurti Set"/>
    <x v="3"/>
    <x v="6"/>
    <s v="Uttar Pradesh"/>
    <n v="1"/>
    <n v="699"/>
    <n v="15"/>
    <n v="594"/>
    <n v="594"/>
    <x v="0"/>
    <x v="1"/>
    <n v="35"/>
    <s v="No"/>
    <n v="30.68"/>
    <n v="274.27"/>
    <n v="254.05"/>
    <n v="594"/>
    <n v="1"/>
    <s v="2026-01"/>
  </r>
  <r>
    <s v="MS100480"/>
    <d v="2026-07-09T00:00:00"/>
    <x v="2"/>
    <s v="Leggings"/>
    <x v="3"/>
    <x v="1"/>
    <s v="Karnataka"/>
    <n v="2"/>
    <n v="299"/>
    <n v="30"/>
    <n v="209"/>
    <n v="418"/>
    <x v="0"/>
    <x v="1"/>
    <n v="35"/>
    <s v="No"/>
    <n v="32.659999999999997"/>
    <n v="178.08"/>
    <n v="172.26"/>
    <n v="209"/>
    <n v="28"/>
    <s v="2026-07"/>
  </r>
  <r>
    <s v="MS100481"/>
    <d v="2026-07-10T00:00:00"/>
    <x v="2"/>
    <s v="Women Kurti Set"/>
    <x v="3"/>
    <x v="9"/>
    <s v="Gujarat"/>
    <n v="1"/>
    <n v="699"/>
    <n v="10"/>
    <n v="629"/>
    <n v="629"/>
    <x v="3"/>
    <x v="1"/>
    <n v="45"/>
    <s v="No"/>
    <n v="43.22"/>
    <n v="282.02"/>
    <n v="258.76"/>
    <n v="629"/>
    <n v="28"/>
    <s v="2026-07"/>
  </r>
  <r>
    <s v="MS100482"/>
    <d v="2026-04-27T00:00:00"/>
    <x v="0"/>
    <s v="Printed Saree"/>
    <x v="3"/>
    <x v="7"/>
    <s v="Delhi"/>
    <n v="2"/>
    <n v="899"/>
    <n v="5"/>
    <n v="854"/>
    <n v="1708"/>
    <x v="1"/>
    <x v="1"/>
    <n v="45"/>
    <s v="No"/>
    <n v="73.64"/>
    <n v="880.55"/>
    <n v="708.81"/>
    <n v="854"/>
    <n v="18"/>
    <s v="2026-04"/>
  </r>
  <r>
    <s v="MS100483"/>
    <d v="2026-05-14T00:00:00"/>
    <x v="4"/>
    <s v="Women's Top"/>
    <x v="3"/>
    <x v="9"/>
    <s v="Gujarat"/>
    <n v="1"/>
    <n v="399"/>
    <n v="20"/>
    <n v="319"/>
    <n v="319"/>
    <x v="3"/>
    <x v="0"/>
    <n v="45"/>
    <s v="No"/>
    <n v="19.170000000000002"/>
    <n v="134.44"/>
    <n v="120.39"/>
    <n v="319"/>
    <n v="20"/>
    <s v="2026-05"/>
  </r>
  <r>
    <s v="MS100484"/>
    <d v="2026-02-27T00:00:00"/>
    <x v="8"/>
    <s v="Oxidised Jewellery Set"/>
    <x v="7"/>
    <x v="8"/>
    <s v="Telangana"/>
    <n v="1"/>
    <n v="249"/>
    <n v="15"/>
    <n v="212"/>
    <n v="212"/>
    <x v="0"/>
    <x v="0"/>
    <n v="65"/>
    <s v="No"/>
    <n v="14.88"/>
    <n v="98.48"/>
    <n v="33.64"/>
    <n v="212"/>
    <n v="9"/>
    <s v="2026-02"/>
  </r>
  <r>
    <s v="MS100485"/>
    <d v="2026-02-13T00:00:00"/>
    <x v="8"/>
    <s v="Printed Saree"/>
    <x v="3"/>
    <x v="5"/>
    <s v="Maharashtra"/>
    <n v="1"/>
    <n v="899"/>
    <n v="20"/>
    <n v="719"/>
    <n v="719"/>
    <x v="1"/>
    <x v="1"/>
    <n v="45"/>
    <s v="No"/>
    <n v="50.03"/>
    <n v="348.39"/>
    <n v="275.58"/>
    <n v="719"/>
    <n v="7"/>
    <s v="2026-02"/>
  </r>
  <r>
    <s v="MS100486"/>
    <d v="2026-06-22T00:00:00"/>
    <x v="6"/>
    <s v="Women's Top"/>
    <x v="3"/>
    <x v="5"/>
    <s v="Maharashtra"/>
    <n v="1"/>
    <n v="399"/>
    <n v="20"/>
    <n v="319"/>
    <n v="319"/>
    <x v="0"/>
    <x v="1"/>
    <n v="55"/>
    <s v="No"/>
    <n v="24.89"/>
    <n v="140.68"/>
    <n v="98.43"/>
    <n v="319"/>
    <n v="26"/>
    <s v="2026-06"/>
  </r>
  <r>
    <s v="MS100487"/>
    <d v="2026-06-09T00:00:00"/>
    <x v="6"/>
    <s v="Kids Dress"/>
    <x v="1"/>
    <x v="5"/>
    <s v="Maharashtra"/>
    <n v="1"/>
    <n v="599"/>
    <n v="25"/>
    <n v="449"/>
    <n v="449"/>
    <x v="1"/>
    <x v="0"/>
    <n v="55"/>
    <s v="No"/>
    <n v="34.979999999999997"/>
    <n v="194.92"/>
    <n v="164.1"/>
    <n v="449"/>
    <n v="24"/>
    <s v="2026-06"/>
  </r>
  <r>
    <s v="MS100488"/>
    <d v="2026-06-22T00:00:00"/>
    <x v="6"/>
    <s v="Women Kurti Set"/>
    <x v="3"/>
    <x v="4"/>
    <s v="Rajasthan"/>
    <n v="1"/>
    <n v="699"/>
    <n v="20"/>
    <n v="559"/>
    <n v="559"/>
    <x v="0"/>
    <x v="1"/>
    <n v="55"/>
    <s v="No"/>
    <n v="36.39"/>
    <n v="245.51"/>
    <n v="222.1"/>
    <n v="559"/>
    <n v="26"/>
    <s v="2026-06"/>
  </r>
  <r>
    <s v="MS100489"/>
    <d v="2026-05-29T00:00:00"/>
    <x v="4"/>
    <s v="Kitchen Storage Set"/>
    <x v="4"/>
    <x v="3"/>
    <s v="West Bengal"/>
    <n v="2"/>
    <n v="499"/>
    <n v="35"/>
    <n v="324"/>
    <n v="648"/>
    <x v="0"/>
    <x v="1"/>
    <n v="45"/>
    <s v="No"/>
    <n v="49.87"/>
    <n v="325.32"/>
    <n v="227.81"/>
    <n v="324"/>
    <n v="22"/>
    <s v="2026-05"/>
  </r>
  <r>
    <s v="MS100490"/>
    <d v="2026-03-21T00:00:00"/>
    <x v="1"/>
    <s v="Bedsheet"/>
    <x v="4"/>
    <x v="9"/>
    <s v="Gujarat"/>
    <n v="1"/>
    <n v="699"/>
    <n v="10"/>
    <n v="629"/>
    <n v="629"/>
    <x v="0"/>
    <x v="1"/>
    <n v="65"/>
    <s v="No"/>
    <n v="39.049999999999997"/>
    <n v="279.39"/>
    <n v="245.56"/>
    <n v="629"/>
    <n v="12"/>
    <s v="2026-03"/>
  </r>
  <r>
    <s v="MS100491"/>
    <d v="2026-08-01T00:00:00"/>
    <x v="5"/>
    <s v="Handbag"/>
    <x v="6"/>
    <x v="5"/>
    <s v="Maharashtra"/>
    <n v="1"/>
    <n v="549"/>
    <n v="35"/>
    <n v="357"/>
    <n v="357"/>
    <x v="0"/>
    <x v="1"/>
    <n v="65"/>
    <s v="No"/>
    <n v="19.46"/>
    <n v="179.36"/>
    <n v="93.18"/>
    <n v="357"/>
    <n v="31"/>
    <s v="2026-08"/>
  </r>
  <r>
    <s v="MS100492"/>
    <d v="2026-07-22T00:00:00"/>
    <x v="2"/>
    <s v="Kids Dress"/>
    <x v="1"/>
    <x v="0"/>
    <s v="Maharashtra"/>
    <n v="1"/>
    <n v="599"/>
    <n v="20"/>
    <n v="479"/>
    <n v="479"/>
    <x v="0"/>
    <x v="1"/>
    <n v="35"/>
    <s v="No"/>
    <n v="25.73"/>
    <n v="233.94"/>
    <n v="184.33"/>
    <n v="479"/>
    <n v="30"/>
    <s v="2026-07"/>
  </r>
  <r>
    <s v="MS100493"/>
    <d v="2026-09-09T00:00:00"/>
    <x v="7"/>
    <s v="Makeup Organizer"/>
    <x v="0"/>
    <x v="2"/>
    <s v="Maharashtra"/>
    <n v="2"/>
    <n v="349"/>
    <n v="25"/>
    <n v="262"/>
    <n v="524"/>
    <x v="0"/>
    <x v="1"/>
    <n v="35"/>
    <s v="No"/>
    <n v="29.07"/>
    <n v="224.3"/>
    <n v="235.63"/>
    <n v="262"/>
    <n v="37"/>
    <s v="2026-09"/>
  </r>
  <r>
    <s v="MS100494"/>
    <d v="2026-08-17T00:00:00"/>
    <x v="5"/>
    <s v="Men's T-Shirt"/>
    <x v="2"/>
    <x v="2"/>
    <s v="Maharashtra"/>
    <n v="1"/>
    <n v="449"/>
    <n v="35"/>
    <n v="292"/>
    <n v="292"/>
    <x v="0"/>
    <x v="1"/>
    <n v="35"/>
    <s v="No"/>
    <n v="14.55"/>
    <n v="146.36000000000001"/>
    <n v="96.09"/>
    <n v="292"/>
    <n v="34"/>
    <s v="2026-08"/>
  </r>
  <r>
    <s v="MS100495"/>
    <d v="2026-06-13T00:00:00"/>
    <x v="6"/>
    <s v="Women Kurti Set"/>
    <x v="3"/>
    <x v="8"/>
    <s v="Telangana"/>
    <n v="1"/>
    <n v="699"/>
    <n v="25"/>
    <n v="524"/>
    <n v="524"/>
    <x v="3"/>
    <x v="1"/>
    <n v="35"/>
    <s v="No"/>
    <n v="32.42"/>
    <n v="266.43"/>
    <n v="190.15"/>
    <n v="524"/>
    <n v="24"/>
    <s v="2026-06"/>
  </r>
  <r>
    <s v="MS100496"/>
    <d v="2026-08-15T00:00:00"/>
    <x v="5"/>
    <s v="Women Kurti Set"/>
    <x v="3"/>
    <x v="0"/>
    <s v="Maharashtra"/>
    <n v="1"/>
    <n v="699"/>
    <n v="15"/>
    <n v="594"/>
    <n v="594"/>
    <x v="0"/>
    <x v="1"/>
    <n v="35"/>
    <s v="No"/>
    <n v="32.6"/>
    <n v="294.61"/>
    <n v="231.79"/>
    <n v="594"/>
    <n v="33"/>
    <s v="2026-08"/>
  </r>
  <r>
    <s v="MS100497"/>
    <d v="2026-05-27T00:00:00"/>
    <x v="4"/>
    <s v="Printed Saree"/>
    <x v="3"/>
    <x v="1"/>
    <s v="Karnataka"/>
    <n v="1"/>
    <n v="899"/>
    <n v="25"/>
    <n v="674"/>
    <n v="674"/>
    <x v="0"/>
    <x v="1"/>
    <n v="35"/>
    <s v="No"/>
    <n v="33.89"/>
    <n v="314.42"/>
    <n v="290.69"/>
    <n v="674"/>
    <n v="22"/>
    <s v="2026-05"/>
  </r>
  <r>
    <s v="MS100498"/>
    <d v="2026-01-20T00:00:00"/>
    <x v="3"/>
    <s v="Handbag"/>
    <x v="6"/>
    <x v="5"/>
    <s v="Maharashtra"/>
    <n v="2"/>
    <n v="549"/>
    <n v="20"/>
    <n v="439"/>
    <n v="878"/>
    <x v="0"/>
    <x v="1"/>
    <n v="65"/>
    <s v="No"/>
    <n v="57.04"/>
    <n v="441.58"/>
    <n v="314.38"/>
    <n v="439"/>
    <n v="4"/>
    <s v="2026-01"/>
  </r>
  <r>
    <s v="MS100499"/>
    <d v="2026-02-16T00:00:00"/>
    <x v="8"/>
    <s v="Women Kurti Set"/>
    <x v="3"/>
    <x v="5"/>
    <s v="Maharashtra"/>
    <n v="1"/>
    <n v="699"/>
    <n v="15"/>
    <n v="594"/>
    <n v="594"/>
    <x v="0"/>
    <x v="0"/>
    <n v="65"/>
    <s v="No"/>
    <n v="31.88"/>
    <n v="275.24"/>
    <n v="221.88"/>
    <n v="594"/>
    <n v="8"/>
    <s v="2026-02"/>
  </r>
  <r>
    <s v="MS100500"/>
    <d v="2026-08-21T00:00:00"/>
    <x v="5"/>
    <s v="Handbag"/>
    <x v="6"/>
    <x v="6"/>
    <s v="Uttar Pradesh"/>
    <n v="2"/>
    <n v="549"/>
    <n v="40"/>
    <n v="329"/>
    <n v="658"/>
    <x v="0"/>
    <x v="0"/>
    <n v="45"/>
    <s v="No"/>
    <n v="40.65"/>
    <n v="279.06"/>
    <n v="293.29000000000002"/>
    <n v="329"/>
    <n v="34"/>
    <s v="2026-08"/>
  </r>
  <r>
    <s v="MS100501"/>
    <d v="2026-01-14T00:00:00"/>
    <x v="3"/>
    <s v="Women Kurti Set"/>
    <x v="3"/>
    <x v="2"/>
    <s v="Maharashtra"/>
    <n v="1"/>
    <n v="699"/>
    <n v="10"/>
    <n v="629"/>
    <n v="629"/>
    <x v="0"/>
    <x v="0"/>
    <n v="65"/>
    <s v="No"/>
    <n v="44"/>
    <n v="286.63"/>
    <n v="233.37"/>
    <n v="629"/>
    <n v="3"/>
    <s v="2026-01"/>
  </r>
  <r>
    <s v="MS100502"/>
    <d v="2026-05-23T00:00:00"/>
    <x v="4"/>
    <s v="Oxidised Jewellery Set"/>
    <x v="7"/>
    <x v="3"/>
    <s v="West Bengal"/>
    <n v="1"/>
    <n v="249"/>
    <n v="10"/>
    <n v="224"/>
    <n v="224"/>
    <x v="0"/>
    <x v="1"/>
    <n v="35"/>
    <s v="No"/>
    <n v="15.67"/>
    <n v="104.89"/>
    <n v="68.44"/>
    <n v="224"/>
    <n v="21"/>
    <s v="2026-05"/>
  </r>
  <r>
    <s v="MS100503"/>
    <d v="2026-01-01T00:00:00"/>
    <x v="3"/>
    <s v="Bedsheet"/>
    <x v="4"/>
    <x v="1"/>
    <s v="Karnataka"/>
    <n v="1"/>
    <n v="699"/>
    <n v="40"/>
    <n v="419"/>
    <n v="419"/>
    <x v="0"/>
    <x v="1"/>
    <n v="45"/>
    <s v="No"/>
    <n v="21.78"/>
    <n v="216.29"/>
    <n v="135.93"/>
    <n v="419"/>
    <n v="1"/>
    <s v="2026-01"/>
  </r>
  <r>
    <s v="MS100504"/>
    <d v="2026-02-23T00:00:00"/>
    <x v="8"/>
    <s v="Men's T-Shirt"/>
    <x v="2"/>
    <x v="0"/>
    <s v="Maharashtra"/>
    <n v="1"/>
    <n v="449"/>
    <n v="20"/>
    <n v="359"/>
    <n v="359"/>
    <x v="0"/>
    <x v="1"/>
    <n v="65"/>
    <s v="No"/>
    <n v="14.92"/>
    <n v="185.86"/>
    <n v="93.22"/>
    <n v="359"/>
    <n v="9"/>
    <s v="2026-02"/>
  </r>
  <r>
    <s v="MS100505"/>
    <d v="2026-09-16T00:00:00"/>
    <x v="7"/>
    <s v="Oxidised Jewellery Set"/>
    <x v="7"/>
    <x v="2"/>
    <s v="Maharashtra"/>
    <n v="2"/>
    <n v="249"/>
    <n v="20"/>
    <n v="199"/>
    <n v="398"/>
    <x v="0"/>
    <x v="0"/>
    <n v="55"/>
    <s v="No"/>
    <n v="30.86"/>
    <n v="186.76"/>
    <n v="125.38"/>
    <n v="199"/>
    <n v="38"/>
    <s v="2026-09"/>
  </r>
  <r>
    <s v="MS100506"/>
    <d v="2026-05-24T00:00:00"/>
    <x v="4"/>
    <s v="Bedsheet"/>
    <x v="4"/>
    <x v="7"/>
    <s v="Delhi"/>
    <n v="1"/>
    <n v="699"/>
    <n v="25"/>
    <n v="524"/>
    <n v="524"/>
    <x v="0"/>
    <x v="0"/>
    <n v="65"/>
    <s v="No"/>
    <n v="24.7"/>
    <n v="225.75"/>
    <n v="208.55"/>
    <n v="524"/>
    <n v="21"/>
    <s v="2026-05"/>
  </r>
  <r>
    <s v="MS100507"/>
    <d v="2026-01-12T00:00:00"/>
    <x v="3"/>
    <s v="Leggings"/>
    <x v="3"/>
    <x v="8"/>
    <s v="Telangana"/>
    <n v="1"/>
    <n v="299"/>
    <n v="20"/>
    <n v="239"/>
    <n v="239"/>
    <x v="1"/>
    <x v="1"/>
    <n v="45"/>
    <s v="No"/>
    <n v="11.54"/>
    <n v="120.73"/>
    <n v="61.73"/>
    <n v="239"/>
    <n v="3"/>
    <s v="2026-01"/>
  </r>
  <r>
    <s v="MS100508"/>
    <d v="2026-08-12T00:00:00"/>
    <x v="5"/>
    <s v="Oxidised Jewellery Set"/>
    <x v="7"/>
    <x v="8"/>
    <s v="Telangana"/>
    <n v="1"/>
    <n v="249"/>
    <n v="20"/>
    <n v="199"/>
    <n v="199"/>
    <x v="0"/>
    <x v="1"/>
    <n v="55"/>
    <s v="No"/>
    <n v="14.24"/>
    <n v="85.95"/>
    <n v="43.81"/>
    <n v="199"/>
    <n v="33"/>
    <s v="2026-08"/>
  </r>
  <r>
    <s v="MS100509"/>
    <d v="2026-06-05T00:00:00"/>
    <x v="6"/>
    <s v="Leggings"/>
    <x v="3"/>
    <x v="2"/>
    <s v="Maharashtra"/>
    <n v="1"/>
    <n v="299"/>
    <n v="30"/>
    <n v="209"/>
    <n v="209"/>
    <x v="1"/>
    <x v="1"/>
    <n v="45"/>
    <s v="No"/>
    <n v="15.53"/>
    <n v="101.72"/>
    <n v="46.75"/>
    <n v="209"/>
    <n v="23"/>
    <s v="2026-06"/>
  </r>
  <r>
    <s v="MS100510"/>
    <d v="2026-01-08T00:00:00"/>
    <x v="3"/>
    <s v="Oxidised Jewellery Set"/>
    <x v="7"/>
    <x v="5"/>
    <s v="Maharashtra"/>
    <n v="2"/>
    <n v="249"/>
    <n v="20"/>
    <n v="199"/>
    <n v="398"/>
    <x v="0"/>
    <x v="0"/>
    <n v="35"/>
    <s v="No"/>
    <n v="29"/>
    <n v="171.19"/>
    <n v="162.81"/>
    <n v="199"/>
    <n v="2"/>
    <s v="2026-01"/>
  </r>
  <r>
    <s v="MS100511"/>
    <d v="2026-05-02T00:00:00"/>
    <x v="4"/>
    <s v="Handbag"/>
    <x v="6"/>
    <x v="2"/>
    <s v="Maharashtra"/>
    <n v="1"/>
    <n v="549"/>
    <n v="25"/>
    <n v="412"/>
    <n v="412"/>
    <x v="0"/>
    <x v="0"/>
    <n v="45"/>
    <s v="No"/>
    <n v="28.21"/>
    <n v="210.05"/>
    <n v="128.74"/>
    <n v="412"/>
    <n v="18"/>
    <s v="2026-05"/>
  </r>
  <r>
    <s v="MS100512"/>
    <d v="2026-06-13T00:00:00"/>
    <x v="6"/>
    <s v="Handbag"/>
    <x v="6"/>
    <x v="0"/>
    <s v="Maharashtra"/>
    <n v="1"/>
    <n v="549"/>
    <n v="25"/>
    <n v="412"/>
    <n v="412"/>
    <x v="0"/>
    <x v="0"/>
    <n v="35"/>
    <s v="No"/>
    <n v="27.47"/>
    <n v="198.72"/>
    <n v="150.81"/>
    <n v="412"/>
    <n v="24"/>
    <s v="2026-06"/>
  </r>
  <r>
    <s v="MS100513"/>
    <d v="2026-03-31T00:00:00"/>
    <x v="1"/>
    <s v="Kitchen Storage Set"/>
    <x v="4"/>
    <x v="0"/>
    <s v="Maharashtra"/>
    <n v="1"/>
    <n v="499"/>
    <n v="15"/>
    <n v="424"/>
    <n v="424"/>
    <x v="0"/>
    <x v="0"/>
    <n v="45"/>
    <s v="No"/>
    <n v="30.75"/>
    <n v="189"/>
    <n v="159.25"/>
    <n v="424"/>
    <n v="14"/>
    <s v="2026-03"/>
  </r>
  <r>
    <s v="MS100514"/>
    <d v="2026-05-16T00:00:00"/>
    <x v="4"/>
    <s v="Makeup Organizer"/>
    <x v="0"/>
    <x v="9"/>
    <s v="Gujarat"/>
    <n v="2"/>
    <n v="349"/>
    <n v="30"/>
    <n v="244"/>
    <n v="488"/>
    <x v="0"/>
    <x v="1"/>
    <n v="45"/>
    <s v="No"/>
    <n v="37.729999999999997"/>
    <n v="249.99"/>
    <n v="155.28"/>
    <n v="244"/>
    <n v="20"/>
    <s v="2026-05"/>
  </r>
  <r>
    <s v="MS100515"/>
    <d v="2026-07-05T00:00:00"/>
    <x v="2"/>
    <s v="Women Kurti Set"/>
    <x v="3"/>
    <x v="5"/>
    <s v="Maharashtra"/>
    <n v="1"/>
    <n v="699"/>
    <n v="5"/>
    <n v="664"/>
    <n v="664"/>
    <x v="0"/>
    <x v="1"/>
    <n v="65"/>
    <s v="No"/>
    <n v="49.19"/>
    <n v="281.60000000000002"/>
    <n v="268.20999999999998"/>
    <n v="664"/>
    <n v="27"/>
    <s v="2026-07"/>
  </r>
  <r>
    <s v="MS100516"/>
    <d v="2026-06-27T00:00:00"/>
    <x v="6"/>
    <s v="Handbag"/>
    <x v="6"/>
    <x v="0"/>
    <s v="Maharashtra"/>
    <n v="1"/>
    <n v="549"/>
    <n v="15"/>
    <n v="467"/>
    <n v="467"/>
    <x v="3"/>
    <x v="1"/>
    <n v="35"/>
    <s v="No"/>
    <n v="28.36"/>
    <n v="224.82"/>
    <n v="178.82"/>
    <n v="467"/>
    <n v="26"/>
    <s v="2026-06"/>
  </r>
  <r>
    <s v="MS100517"/>
    <d v="2026-01-28T00:00:00"/>
    <x v="3"/>
    <s v="Men's T-Shirt"/>
    <x v="2"/>
    <x v="2"/>
    <s v="Maharashtra"/>
    <n v="1"/>
    <n v="449"/>
    <n v="10"/>
    <n v="404"/>
    <n v="404"/>
    <x v="0"/>
    <x v="1"/>
    <n v="65"/>
    <s v="No"/>
    <n v="29.83"/>
    <n v="174.3"/>
    <n v="134.87"/>
    <n v="404"/>
    <n v="5"/>
    <s v="2026-01"/>
  </r>
  <r>
    <s v="MS100518"/>
    <d v="2026-08-08T00:00:00"/>
    <x v="5"/>
    <s v="Kitchen Storage Set"/>
    <x v="4"/>
    <x v="1"/>
    <s v="Karnataka"/>
    <n v="1"/>
    <n v="499"/>
    <n v="40"/>
    <n v="299"/>
    <n v="299"/>
    <x v="0"/>
    <x v="0"/>
    <n v="55"/>
    <s v="No"/>
    <n v="12.4"/>
    <n v="127.16"/>
    <n v="104.44"/>
    <n v="299"/>
    <n v="32"/>
    <s v="2026-08"/>
  </r>
  <r>
    <s v="MS100519"/>
    <d v="2026-02-10T00:00:00"/>
    <x v="8"/>
    <s v="Oxidised Jewellery Set"/>
    <x v="7"/>
    <x v="6"/>
    <s v="Uttar Pradesh"/>
    <n v="2"/>
    <n v="249"/>
    <n v="15"/>
    <n v="212"/>
    <n v="424"/>
    <x v="0"/>
    <x v="1"/>
    <n v="35"/>
    <s v="No"/>
    <n v="17.64"/>
    <n v="197.12"/>
    <n v="174.24"/>
    <n v="212"/>
    <n v="7"/>
    <s v="2026-02"/>
  </r>
  <r>
    <s v="MS100520"/>
    <d v="2026-08-16T00:00:00"/>
    <x v="5"/>
    <s v="Leggings"/>
    <x v="3"/>
    <x v="0"/>
    <s v="Maharashtra"/>
    <n v="1"/>
    <n v="299"/>
    <n v="15"/>
    <n v="254"/>
    <n v="254"/>
    <x v="0"/>
    <x v="0"/>
    <n v="65"/>
    <s v="No"/>
    <n v="12.51"/>
    <n v="116.95"/>
    <n v="59.54"/>
    <n v="254"/>
    <n v="33"/>
    <s v="2026-08"/>
  </r>
  <r>
    <s v="MS100521"/>
    <d v="2026-07-11T00:00:00"/>
    <x v="2"/>
    <s v="Printed Saree"/>
    <x v="3"/>
    <x v="5"/>
    <s v="Maharashtra"/>
    <n v="1"/>
    <n v="899"/>
    <n v="20"/>
    <n v="719"/>
    <n v="719"/>
    <x v="0"/>
    <x v="1"/>
    <n v="35"/>
    <s v="No"/>
    <n v="36.96"/>
    <n v="347.33"/>
    <n v="299.70999999999998"/>
    <n v="719"/>
    <n v="28"/>
    <s v="2026-07"/>
  </r>
  <r>
    <s v="MS100522"/>
    <d v="2026-05-25T00:00:00"/>
    <x v="4"/>
    <s v="Handbag"/>
    <x v="6"/>
    <x v="5"/>
    <s v="Maharashtra"/>
    <n v="2"/>
    <n v="549"/>
    <n v="15"/>
    <n v="467"/>
    <n v="934"/>
    <x v="0"/>
    <x v="1"/>
    <n v="65"/>
    <s v="No"/>
    <n v="53.02"/>
    <n v="402.86"/>
    <n v="413.12"/>
    <n v="467"/>
    <n v="22"/>
    <s v="2026-05"/>
  </r>
  <r>
    <s v="MS100523"/>
    <d v="2026-07-20T00:00:00"/>
    <x v="2"/>
    <s v="Women's Top"/>
    <x v="3"/>
    <x v="5"/>
    <s v="Maharashtra"/>
    <n v="1"/>
    <n v="399"/>
    <n v="15"/>
    <n v="339"/>
    <n v="339"/>
    <x v="0"/>
    <x v="0"/>
    <n v="45"/>
    <s v="No"/>
    <n v="20.55"/>
    <n v="145.85"/>
    <n v="127.6"/>
    <n v="339"/>
    <n v="30"/>
    <s v="2026-07"/>
  </r>
  <r>
    <s v="MS100524"/>
    <d v="2026-07-31T00:00:00"/>
    <x v="2"/>
    <s v="Printed Saree"/>
    <x v="3"/>
    <x v="0"/>
    <s v="Maharashtra"/>
    <n v="1"/>
    <n v="899"/>
    <n v="25"/>
    <n v="674"/>
    <n v="674"/>
    <x v="0"/>
    <x v="1"/>
    <n v="35"/>
    <s v="No"/>
    <n v="37.58"/>
    <n v="340.43"/>
    <n v="260.99"/>
    <n v="674"/>
    <n v="31"/>
    <s v="2026-07"/>
  </r>
  <r>
    <s v="MS100525"/>
    <d v="2026-08-08T00:00:00"/>
    <x v="5"/>
    <s v="Oxidised Jewellery Set"/>
    <x v="7"/>
    <x v="6"/>
    <s v="Uttar Pradesh"/>
    <n v="2"/>
    <n v="249"/>
    <n v="30"/>
    <n v="174"/>
    <n v="348"/>
    <x v="0"/>
    <x v="0"/>
    <n v="35"/>
    <s v="No"/>
    <n v="22.95"/>
    <n v="177.45"/>
    <n v="112.6"/>
    <n v="174"/>
    <n v="32"/>
    <s v="2026-08"/>
  </r>
  <r>
    <s v="MS100526"/>
    <d v="2026-08-28T00:00:00"/>
    <x v="5"/>
    <s v="Women's Top"/>
    <x v="3"/>
    <x v="0"/>
    <s v="Maharashtra"/>
    <n v="2"/>
    <n v="399"/>
    <n v="20"/>
    <n v="319"/>
    <n v="638"/>
    <x v="3"/>
    <x v="1"/>
    <n v="65"/>
    <s v="No"/>
    <n v="42.78"/>
    <n v="287.16000000000003"/>
    <n v="243.06"/>
    <n v="319"/>
    <n v="35"/>
    <s v="2026-08"/>
  </r>
  <r>
    <s v="MS100527"/>
    <d v="2026-02-15T00:00:00"/>
    <x v="8"/>
    <s v="Women's Top"/>
    <x v="3"/>
    <x v="9"/>
    <s v="Gujarat"/>
    <n v="1"/>
    <n v="399"/>
    <n v="15"/>
    <n v="339"/>
    <n v="339"/>
    <x v="0"/>
    <x v="1"/>
    <n v="35"/>
    <s v="No"/>
    <n v="27.06"/>
    <n v="157.63999999999999"/>
    <n v="119.3"/>
    <n v="339"/>
    <n v="7"/>
    <s v="2026-02"/>
  </r>
  <r>
    <s v="MS100528"/>
    <d v="2026-02-04T00:00:00"/>
    <x v="8"/>
    <s v="Women Kurti Set"/>
    <x v="3"/>
    <x v="4"/>
    <s v="Rajasthan"/>
    <n v="1"/>
    <n v="699"/>
    <n v="10"/>
    <n v="629"/>
    <n v="629"/>
    <x v="0"/>
    <x v="0"/>
    <n v="35"/>
    <s v="No"/>
    <n v="49.96"/>
    <n v="316.93"/>
    <n v="227.11"/>
    <n v="629"/>
    <n v="6"/>
    <s v="2026-02"/>
  </r>
  <r>
    <s v="MS100529"/>
    <d v="2026-09-10T00:00:00"/>
    <x v="7"/>
    <s v="Makeup Organizer"/>
    <x v="0"/>
    <x v="3"/>
    <s v="West Bengal"/>
    <n v="1"/>
    <n v="349"/>
    <n v="20"/>
    <n v="279"/>
    <n v="279"/>
    <x v="0"/>
    <x v="0"/>
    <n v="35"/>
    <s v="No"/>
    <n v="12.13"/>
    <n v="132.19999999999999"/>
    <n v="99.67"/>
    <n v="279"/>
    <n v="37"/>
    <s v="2026-09"/>
  </r>
  <r>
    <s v="MS100530"/>
    <d v="2026-03-23T00:00:00"/>
    <x v="1"/>
    <s v="Leggings"/>
    <x v="3"/>
    <x v="6"/>
    <s v="Uttar Pradesh"/>
    <n v="1"/>
    <n v="299"/>
    <n v="40"/>
    <n v="179"/>
    <n v="179"/>
    <x v="0"/>
    <x v="1"/>
    <n v="55"/>
    <s v="No"/>
    <n v="13.9"/>
    <n v="87.29"/>
    <n v="22.81"/>
    <n v="179"/>
    <n v="13"/>
    <s v="2026-03"/>
  </r>
  <r>
    <s v="MS100531"/>
    <d v="2026-09-13T00:00:00"/>
    <x v="7"/>
    <s v="Makeup Organizer"/>
    <x v="0"/>
    <x v="9"/>
    <s v="Gujarat"/>
    <n v="1"/>
    <n v="349"/>
    <n v="15"/>
    <n v="297"/>
    <n v="297"/>
    <x v="3"/>
    <x v="1"/>
    <n v="65"/>
    <s v="No"/>
    <n v="22.85"/>
    <n v="154.37"/>
    <n v="54.78"/>
    <n v="297"/>
    <n v="37"/>
    <s v="2026-09"/>
  </r>
  <r>
    <s v="MS100532"/>
    <d v="2026-07-16T00:00:00"/>
    <x v="2"/>
    <s v="Leggings"/>
    <x v="3"/>
    <x v="8"/>
    <s v="Telangana"/>
    <n v="1"/>
    <n v="299"/>
    <n v="15"/>
    <n v="254"/>
    <n v="254"/>
    <x v="0"/>
    <x v="0"/>
    <n v="45"/>
    <s v="No"/>
    <n v="20.149999999999999"/>
    <n v="123.01"/>
    <n v="65.84"/>
    <n v="254"/>
    <n v="29"/>
    <s v="2026-07"/>
  </r>
  <r>
    <s v="MS100533"/>
    <d v="2026-01-10T00:00:00"/>
    <x v="3"/>
    <s v="Kitchen Storage Set"/>
    <x v="4"/>
    <x v="4"/>
    <s v="Rajasthan"/>
    <n v="1"/>
    <n v="499"/>
    <n v="30"/>
    <n v="349"/>
    <n v="349"/>
    <x v="0"/>
    <x v="1"/>
    <n v="35"/>
    <s v="No"/>
    <n v="25.83"/>
    <n v="172.44"/>
    <n v="115.73"/>
    <n v="349"/>
    <n v="2"/>
    <s v="2026-01"/>
  </r>
  <r>
    <s v="MS100534"/>
    <d v="2026-08-30T00:00:00"/>
    <x v="5"/>
    <s v="Kitchen Storage Set"/>
    <x v="4"/>
    <x v="4"/>
    <s v="Rajasthan"/>
    <n v="1"/>
    <n v="499"/>
    <n v="25"/>
    <n v="374"/>
    <n v="374"/>
    <x v="0"/>
    <x v="1"/>
    <n v="55"/>
    <s v="No"/>
    <n v="21.61"/>
    <n v="184.84"/>
    <n v="112.55"/>
    <n v="374"/>
    <n v="35"/>
    <s v="2026-08"/>
  </r>
  <r>
    <s v="MS100535"/>
    <d v="2026-09-08T00:00:00"/>
    <x v="7"/>
    <s v="Women's Slippers"/>
    <x v="5"/>
    <x v="1"/>
    <s v="Karnataka"/>
    <n v="1"/>
    <n v="299"/>
    <n v="20"/>
    <n v="239"/>
    <n v="239"/>
    <x v="0"/>
    <x v="0"/>
    <n v="45"/>
    <s v="No"/>
    <n v="10.69"/>
    <n v="123.18"/>
    <n v="60.13"/>
    <n v="239"/>
    <n v="37"/>
    <s v="2026-09"/>
  </r>
  <r>
    <s v="MS100536"/>
    <d v="2026-01-05T00:00:00"/>
    <x v="3"/>
    <s v="Makeup Organizer"/>
    <x v="0"/>
    <x v="9"/>
    <s v="Gujarat"/>
    <n v="1"/>
    <n v="349"/>
    <n v="25"/>
    <n v="262"/>
    <n v="262"/>
    <x v="3"/>
    <x v="0"/>
    <n v="45"/>
    <s v="No"/>
    <n v="11.29"/>
    <n v="117.44"/>
    <n v="88.27"/>
    <n v="262"/>
    <n v="2"/>
    <s v="2026-01"/>
  </r>
  <r>
    <s v="MS100537"/>
    <d v="2026-04-29T00:00:00"/>
    <x v="0"/>
    <s v="Oxidised Jewellery Set"/>
    <x v="7"/>
    <x v="0"/>
    <s v="Maharashtra"/>
    <n v="2"/>
    <n v="249"/>
    <n v="10"/>
    <n v="224"/>
    <n v="448"/>
    <x v="3"/>
    <x v="1"/>
    <n v="55"/>
    <s v="No"/>
    <n v="24.52"/>
    <n v="232.02"/>
    <n v="136.46"/>
    <n v="224"/>
    <n v="18"/>
    <s v="2026-04"/>
  </r>
  <r>
    <s v="MS100538"/>
    <d v="2026-03-06T00:00:00"/>
    <x v="1"/>
    <s v="Printed Saree"/>
    <x v="3"/>
    <x v="4"/>
    <s v="Rajasthan"/>
    <n v="2"/>
    <n v="899"/>
    <n v="25"/>
    <n v="674"/>
    <n v="1348"/>
    <x v="0"/>
    <x v="0"/>
    <n v="55"/>
    <s v="No"/>
    <n v="92.6"/>
    <n v="625.95000000000005"/>
    <n v="574.45000000000005"/>
    <n v="674"/>
    <n v="10"/>
    <s v="2026-03"/>
  </r>
  <r>
    <s v="MS100539"/>
    <d v="2026-05-26T00:00:00"/>
    <x v="4"/>
    <s v="Women's Slippers"/>
    <x v="5"/>
    <x v="1"/>
    <s v="Karnataka"/>
    <n v="2"/>
    <n v="299"/>
    <n v="25"/>
    <n v="224"/>
    <n v="448"/>
    <x v="1"/>
    <x v="1"/>
    <n v="45"/>
    <s v="No"/>
    <n v="26.53"/>
    <n v="191.24"/>
    <n v="185.23"/>
    <n v="224"/>
    <n v="22"/>
    <s v="2026-05"/>
  </r>
  <r>
    <s v="MS100540"/>
    <d v="2026-08-12T00:00:00"/>
    <x v="5"/>
    <s v="Men's T-Shirt"/>
    <x v="2"/>
    <x v="1"/>
    <s v="Karnataka"/>
    <n v="2"/>
    <n v="449"/>
    <n v="15"/>
    <n v="382"/>
    <n v="764"/>
    <x v="1"/>
    <x v="1"/>
    <n v="35"/>
    <s v="No"/>
    <n v="32.46"/>
    <n v="383.73"/>
    <n v="312.81"/>
    <n v="382"/>
    <n v="33"/>
    <s v="2026-08"/>
  </r>
  <r>
    <s v="MS100541"/>
    <d v="2026-08-27T00:00:00"/>
    <x v="5"/>
    <s v="Women's Top"/>
    <x v="3"/>
    <x v="2"/>
    <s v="Maharashtra"/>
    <n v="1"/>
    <n v="399"/>
    <n v="35"/>
    <n v="259"/>
    <n v="259"/>
    <x v="0"/>
    <x v="0"/>
    <n v="45"/>
    <s v="No"/>
    <n v="12.18"/>
    <n v="122.07"/>
    <n v="79.75"/>
    <n v="259"/>
    <n v="35"/>
    <s v="2026-08"/>
  </r>
  <r>
    <s v="MS100542"/>
    <d v="2026-06-26T00:00:00"/>
    <x v="6"/>
    <s v="Handbag"/>
    <x v="6"/>
    <x v="4"/>
    <s v="Rajasthan"/>
    <n v="1"/>
    <n v="549"/>
    <n v="10"/>
    <n v="494"/>
    <n v="494"/>
    <x v="0"/>
    <x v="1"/>
    <n v="45"/>
    <s v="No"/>
    <n v="26.54"/>
    <n v="256.29000000000002"/>
    <n v="166.17"/>
    <n v="494"/>
    <n v="26"/>
    <s v="2026-06"/>
  </r>
  <r>
    <s v="MS100543"/>
    <d v="2026-09-24T00:00:00"/>
    <x v="7"/>
    <s v="Oxidised Jewellery Set"/>
    <x v="7"/>
    <x v="8"/>
    <s v="Telangana"/>
    <n v="1"/>
    <n v="249"/>
    <n v="15"/>
    <n v="212"/>
    <n v="212"/>
    <x v="0"/>
    <x v="0"/>
    <n v="65"/>
    <s v="No"/>
    <n v="8.91"/>
    <n v="91.09"/>
    <n v="47"/>
    <n v="212"/>
    <n v="39"/>
    <s v="2026-09"/>
  </r>
  <r>
    <s v="MS100544"/>
    <d v="2026-03-04T00:00:00"/>
    <x v="1"/>
    <s v="Oxidised Jewellery Set"/>
    <x v="7"/>
    <x v="8"/>
    <s v="Telangana"/>
    <n v="2"/>
    <n v="249"/>
    <n v="10"/>
    <n v="224"/>
    <n v="448"/>
    <x v="0"/>
    <x v="0"/>
    <n v="45"/>
    <s v="No"/>
    <n v="20.329999999999998"/>
    <n v="209.11"/>
    <n v="173.56"/>
    <n v="224"/>
    <n v="10"/>
    <s v="2026-03"/>
  </r>
  <r>
    <s v="MS100545"/>
    <d v="2026-08-05T00:00:00"/>
    <x v="5"/>
    <s v="Leggings"/>
    <x v="3"/>
    <x v="7"/>
    <s v="Delhi"/>
    <n v="2"/>
    <n v="299"/>
    <n v="5"/>
    <n v="284"/>
    <n v="568"/>
    <x v="3"/>
    <x v="0"/>
    <n v="35"/>
    <s v="No"/>
    <n v="35.630000000000003"/>
    <n v="283.55"/>
    <n v="213.82"/>
    <n v="284"/>
    <n v="32"/>
    <s v="2026-08"/>
  </r>
  <r>
    <s v="MS100546"/>
    <d v="2026-06-26T00:00:00"/>
    <x v="6"/>
    <s v="Women's Slippers"/>
    <x v="5"/>
    <x v="5"/>
    <s v="Maharashtra"/>
    <n v="1"/>
    <n v="299"/>
    <n v="35"/>
    <n v="194"/>
    <n v="194"/>
    <x v="3"/>
    <x v="0"/>
    <n v="55"/>
    <s v="No"/>
    <n v="12.53"/>
    <n v="99.46"/>
    <n v="27.01"/>
    <n v="194"/>
    <n v="26"/>
    <s v="2026-06"/>
  </r>
  <r>
    <s v="MS100547"/>
    <d v="2026-04-08T00:00:00"/>
    <x v="0"/>
    <s v="Oxidised Jewellery Set"/>
    <x v="7"/>
    <x v="1"/>
    <s v="Karnataka"/>
    <n v="1"/>
    <n v="249"/>
    <n v="15"/>
    <n v="212"/>
    <n v="212"/>
    <x v="2"/>
    <x v="0"/>
    <n v="65"/>
    <s v="Yes"/>
    <n v="12.48"/>
    <n v="95.92"/>
    <n v="38.6"/>
    <n v="212"/>
    <n v="15"/>
    <s v="2026-04"/>
  </r>
  <r>
    <s v="MS100548"/>
    <d v="2026-04-15T00:00:00"/>
    <x v="0"/>
    <s v="Handbag"/>
    <x v="6"/>
    <x v="2"/>
    <s v="Maharashtra"/>
    <n v="3"/>
    <n v="549"/>
    <n v="5"/>
    <n v="522"/>
    <n v="1566"/>
    <x v="0"/>
    <x v="1"/>
    <n v="35"/>
    <s v="No"/>
    <n v="90.67"/>
    <n v="772.04"/>
    <n v="668.29"/>
    <n v="522"/>
    <n v="16"/>
    <s v="2026-04"/>
  </r>
  <r>
    <s v="MS100549"/>
    <d v="2026-04-09T00:00:00"/>
    <x v="0"/>
    <s v="Oxidised Jewellery Set"/>
    <x v="7"/>
    <x v="1"/>
    <s v="Karnataka"/>
    <n v="1"/>
    <n v="249"/>
    <n v="10"/>
    <n v="224"/>
    <n v="224"/>
    <x v="0"/>
    <x v="1"/>
    <n v="55"/>
    <s v="No"/>
    <n v="15.35"/>
    <n v="102.88"/>
    <n v="50.77"/>
    <n v="224"/>
    <n v="15"/>
    <s v="2026-04"/>
  </r>
  <r>
    <s v="MS100550"/>
    <d v="2026-01-06T00:00:00"/>
    <x v="3"/>
    <s v="Women Kurti Set"/>
    <x v="3"/>
    <x v="4"/>
    <s v="Rajasthan"/>
    <n v="2"/>
    <n v="699"/>
    <n v="25"/>
    <n v="524"/>
    <n v="1048"/>
    <x v="2"/>
    <x v="0"/>
    <n v="65"/>
    <s v="Yes"/>
    <n v="45.75"/>
    <n v="457.08"/>
    <n v="480.17"/>
    <n v="524"/>
    <n v="2"/>
    <s v="2026-01"/>
  </r>
  <r>
    <s v="MS100551"/>
    <d v="2026-07-16T00:00:00"/>
    <x v="2"/>
    <s v="Bedsheet"/>
    <x v="4"/>
    <x v="3"/>
    <s v="West Bengal"/>
    <n v="1"/>
    <n v="699"/>
    <n v="15"/>
    <n v="594"/>
    <n v="594"/>
    <x v="0"/>
    <x v="0"/>
    <n v="65"/>
    <s v="No"/>
    <n v="41.55"/>
    <n v="262.14"/>
    <n v="225.31"/>
    <n v="594"/>
    <n v="29"/>
    <s v="2026-07"/>
  </r>
  <r>
    <s v="MS100552"/>
    <d v="2026-05-13T00:00:00"/>
    <x v="4"/>
    <s v="Leggings"/>
    <x v="3"/>
    <x v="4"/>
    <s v="Rajasthan"/>
    <n v="1"/>
    <n v="299"/>
    <n v="20"/>
    <n v="239"/>
    <n v="239"/>
    <x v="0"/>
    <x v="0"/>
    <n v="45"/>
    <s v="No"/>
    <n v="10.8"/>
    <n v="101.76"/>
    <n v="81.44"/>
    <n v="239"/>
    <n v="20"/>
    <s v="2026-05"/>
  </r>
  <r>
    <s v="MS100553"/>
    <d v="2026-09-16T00:00:00"/>
    <x v="7"/>
    <s v="Kitchen Storage Set"/>
    <x v="4"/>
    <x v="1"/>
    <s v="Karnataka"/>
    <n v="1"/>
    <n v="499"/>
    <n v="25"/>
    <n v="374"/>
    <n v="374"/>
    <x v="0"/>
    <x v="0"/>
    <n v="35"/>
    <s v="No"/>
    <n v="24.95"/>
    <n v="162.07"/>
    <n v="151.97999999999999"/>
    <n v="374"/>
    <n v="38"/>
    <s v="2026-09"/>
  </r>
  <r>
    <s v="MS100554"/>
    <d v="2026-01-23T00:00:00"/>
    <x v="3"/>
    <s v="Kids Dress"/>
    <x v="1"/>
    <x v="7"/>
    <s v="Delhi"/>
    <n v="1"/>
    <n v="599"/>
    <n v="35"/>
    <n v="389"/>
    <n v="389"/>
    <x v="0"/>
    <x v="0"/>
    <n v="35"/>
    <s v="No"/>
    <n v="27.72"/>
    <n v="182.21"/>
    <n v="144.07"/>
    <n v="389"/>
    <n v="4"/>
    <s v="2026-01"/>
  </r>
  <r>
    <s v="MS100555"/>
    <d v="2026-02-22T00:00:00"/>
    <x v="8"/>
    <s v="Leggings"/>
    <x v="3"/>
    <x v="7"/>
    <s v="Delhi"/>
    <n v="1"/>
    <n v="299"/>
    <n v="25"/>
    <n v="224"/>
    <n v="224"/>
    <x v="0"/>
    <x v="1"/>
    <n v="35"/>
    <s v="No"/>
    <n v="13.48"/>
    <n v="99.92"/>
    <n v="75.599999999999994"/>
    <n v="224"/>
    <n v="8"/>
    <s v="2026-02"/>
  </r>
  <r>
    <s v="MS100556"/>
    <d v="2026-06-14T00:00:00"/>
    <x v="6"/>
    <s v="Oxidised Jewellery Set"/>
    <x v="7"/>
    <x v="9"/>
    <s v="Gujarat"/>
    <n v="1"/>
    <n v="249"/>
    <n v="40"/>
    <n v="149"/>
    <n v="149"/>
    <x v="0"/>
    <x v="1"/>
    <n v="45"/>
    <s v="No"/>
    <n v="9.86"/>
    <n v="75.58"/>
    <n v="18.559999999999999"/>
    <n v="149"/>
    <n v="24"/>
    <s v="2026-06"/>
  </r>
  <r>
    <s v="MS100557"/>
    <d v="2026-07-21T00:00:00"/>
    <x v="2"/>
    <s v="Men's T-Shirt"/>
    <x v="2"/>
    <x v="9"/>
    <s v="Gujarat"/>
    <n v="2"/>
    <n v="449"/>
    <n v="25"/>
    <n v="337"/>
    <n v="674"/>
    <x v="0"/>
    <x v="0"/>
    <n v="65"/>
    <s v="No"/>
    <n v="39.299999999999997"/>
    <n v="309.67"/>
    <n v="260.02999999999997"/>
    <n v="337"/>
    <n v="30"/>
    <s v="2026-07"/>
  </r>
  <r>
    <s v="MS100558"/>
    <d v="2026-03-24T00:00:00"/>
    <x v="1"/>
    <s v="Men's T-Shirt"/>
    <x v="2"/>
    <x v="7"/>
    <s v="Delhi"/>
    <n v="3"/>
    <n v="449"/>
    <n v="15"/>
    <n v="382"/>
    <n v="1146"/>
    <x v="0"/>
    <x v="0"/>
    <n v="65"/>
    <s v="No"/>
    <n v="84.23"/>
    <n v="518.33000000000004"/>
    <n v="478.44"/>
    <n v="382"/>
    <n v="13"/>
    <s v="2026-03"/>
  </r>
  <r>
    <s v="MS100559"/>
    <d v="2026-05-25T00:00:00"/>
    <x v="4"/>
    <s v="Printed Saree"/>
    <x v="3"/>
    <x v="9"/>
    <s v="Gujarat"/>
    <n v="1"/>
    <n v="899"/>
    <n v="10"/>
    <n v="809"/>
    <n v="809"/>
    <x v="0"/>
    <x v="1"/>
    <n v="55"/>
    <s v="No"/>
    <n v="33.96"/>
    <n v="371.03"/>
    <n v="349.01"/>
    <n v="809"/>
    <n v="22"/>
    <s v="2026-05"/>
  </r>
  <r>
    <s v="MS100560"/>
    <d v="2026-03-26T00:00:00"/>
    <x v="1"/>
    <s v="Kitchen Storage Set"/>
    <x v="4"/>
    <x v="5"/>
    <s v="Maharashtra"/>
    <n v="1"/>
    <n v="499"/>
    <n v="15"/>
    <n v="424"/>
    <n v="424"/>
    <x v="0"/>
    <x v="1"/>
    <n v="65"/>
    <s v="No"/>
    <n v="25.68"/>
    <n v="211.13"/>
    <n v="122.19"/>
    <n v="424"/>
    <n v="13"/>
    <s v="2026-03"/>
  </r>
  <r>
    <s v="MS100561"/>
    <d v="2026-03-19T00:00:00"/>
    <x v="1"/>
    <s v="Women's Slippers"/>
    <x v="5"/>
    <x v="5"/>
    <s v="Maharashtra"/>
    <n v="2"/>
    <n v="299"/>
    <n v="20"/>
    <n v="239"/>
    <n v="478"/>
    <x v="0"/>
    <x v="0"/>
    <n v="55"/>
    <s v="No"/>
    <n v="30.73"/>
    <n v="204.99"/>
    <n v="187.28"/>
    <n v="239"/>
    <n v="12"/>
    <s v="2026-03"/>
  </r>
  <r>
    <s v="MS100562"/>
    <d v="2026-01-01T00:00:00"/>
    <x v="3"/>
    <s v="Leggings"/>
    <x v="3"/>
    <x v="0"/>
    <s v="Maharashtra"/>
    <n v="1"/>
    <n v="299"/>
    <n v="30"/>
    <n v="209"/>
    <n v="209"/>
    <x v="0"/>
    <x v="1"/>
    <n v="65"/>
    <s v="No"/>
    <n v="14.1"/>
    <n v="104.81"/>
    <n v="25.09"/>
    <n v="209"/>
    <n v="1"/>
    <s v="2026-01"/>
  </r>
  <r>
    <s v="MS100563"/>
    <d v="2026-02-20T00:00:00"/>
    <x v="8"/>
    <s v="Handbag"/>
    <x v="6"/>
    <x v="7"/>
    <s v="Delhi"/>
    <n v="1"/>
    <n v="549"/>
    <n v="40"/>
    <n v="329"/>
    <n v="329"/>
    <x v="0"/>
    <x v="1"/>
    <n v="65"/>
    <s v="No"/>
    <n v="19.52"/>
    <n v="145.41999999999999"/>
    <n v="99.06"/>
    <n v="329"/>
    <n v="8"/>
    <s v="2026-02"/>
  </r>
  <r>
    <s v="MS100564"/>
    <d v="2026-06-22T00:00:00"/>
    <x v="6"/>
    <s v="Printed Saree"/>
    <x v="3"/>
    <x v="1"/>
    <s v="Karnataka"/>
    <n v="1"/>
    <n v="899"/>
    <n v="25"/>
    <n v="674"/>
    <n v="674"/>
    <x v="0"/>
    <x v="1"/>
    <n v="55"/>
    <s v="No"/>
    <n v="38.04"/>
    <n v="330.53"/>
    <n v="250.43"/>
    <n v="674"/>
    <n v="26"/>
    <s v="2026-06"/>
  </r>
  <r>
    <s v="MS100565"/>
    <d v="2026-07-24T00:00:00"/>
    <x v="2"/>
    <s v="Handbag"/>
    <x v="6"/>
    <x v="8"/>
    <s v="Telangana"/>
    <n v="1"/>
    <n v="549"/>
    <n v="40"/>
    <n v="329"/>
    <n v="329"/>
    <x v="2"/>
    <x v="0"/>
    <n v="55"/>
    <s v="Yes"/>
    <n v="19.010000000000002"/>
    <n v="148.16"/>
    <n v="106.83"/>
    <n v="329"/>
    <n v="30"/>
    <s v="2026-07"/>
  </r>
  <r>
    <s v="MS100566"/>
    <d v="2026-09-17T00:00:00"/>
    <x v="7"/>
    <s v="Handbag"/>
    <x v="6"/>
    <x v="6"/>
    <s v="Uttar Pradesh"/>
    <n v="1"/>
    <n v="549"/>
    <n v="30"/>
    <n v="384"/>
    <n v="384"/>
    <x v="1"/>
    <x v="1"/>
    <n v="45"/>
    <s v="No"/>
    <n v="15.55"/>
    <n v="186.03"/>
    <n v="137.41999999999999"/>
    <n v="384"/>
    <n v="38"/>
    <s v="2026-09"/>
  </r>
  <r>
    <s v="MS100567"/>
    <d v="2026-02-03T00:00:00"/>
    <x v="8"/>
    <s v="Women Kurti Set"/>
    <x v="3"/>
    <x v="7"/>
    <s v="Delhi"/>
    <n v="1"/>
    <n v="699"/>
    <n v="40"/>
    <n v="419"/>
    <n v="419"/>
    <x v="3"/>
    <x v="0"/>
    <n v="45"/>
    <s v="No"/>
    <n v="22.28"/>
    <n v="205.03"/>
    <n v="146.69"/>
    <n v="419"/>
    <n v="6"/>
    <s v="2026-02"/>
  </r>
  <r>
    <s v="MS100568"/>
    <d v="2026-04-05T00:00:00"/>
    <x v="0"/>
    <s v="Kids Dress"/>
    <x v="1"/>
    <x v="4"/>
    <s v="Rajasthan"/>
    <n v="2"/>
    <n v="599"/>
    <n v="30"/>
    <n v="419"/>
    <n v="838"/>
    <x v="2"/>
    <x v="1"/>
    <n v="35"/>
    <s v="Yes"/>
    <n v="56.75"/>
    <n v="434.7"/>
    <n v="311.55"/>
    <n v="419"/>
    <n v="14"/>
    <s v="2026-04"/>
  </r>
  <r>
    <s v="MS100569"/>
    <d v="2026-03-13T00:00:00"/>
    <x v="1"/>
    <s v="Women's Top"/>
    <x v="3"/>
    <x v="6"/>
    <s v="Uttar Pradesh"/>
    <n v="1"/>
    <n v="399"/>
    <n v="20"/>
    <n v="319"/>
    <n v="319"/>
    <x v="0"/>
    <x v="1"/>
    <n v="65"/>
    <s v="No"/>
    <n v="16.260000000000002"/>
    <n v="149.11000000000001"/>
    <n v="88.63"/>
    <n v="319"/>
    <n v="11"/>
    <s v="2026-03"/>
  </r>
  <r>
    <s v="MS100570"/>
    <d v="2026-02-08T00:00:00"/>
    <x v="8"/>
    <s v="Kids Dress"/>
    <x v="1"/>
    <x v="4"/>
    <s v="Rajasthan"/>
    <n v="1"/>
    <n v="599"/>
    <n v="20"/>
    <n v="479"/>
    <n v="479"/>
    <x v="3"/>
    <x v="1"/>
    <n v="55"/>
    <s v="No"/>
    <n v="20.14"/>
    <n v="212.33"/>
    <n v="191.53"/>
    <n v="479"/>
    <n v="6"/>
    <s v="2026-02"/>
  </r>
  <r>
    <s v="MS100571"/>
    <d v="2026-06-03T00:00:00"/>
    <x v="6"/>
    <s v="Printed Saree"/>
    <x v="3"/>
    <x v="9"/>
    <s v="Gujarat"/>
    <n v="1"/>
    <n v="899"/>
    <n v="20"/>
    <n v="719"/>
    <n v="719"/>
    <x v="0"/>
    <x v="1"/>
    <n v="45"/>
    <s v="No"/>
    <n v="41.59"/>
    <n v="341.81"/>
    <n v="290.60000000000002"/>
    <n v="719"/>
    <n v="23"/>
    <s v="2026-06"/>
  </r>
  <r>
    <s v="MS100572"/>
    <d v="2026-09-07T00:00:00"/>
    <x v="7"/>
    <s v="Kids Dress"/>
    <x v="1"/>
    <x v="9"/>
    <s v="Gujarat"/>
    <n v="1"/>
    <n v="599"/>
    <n v="10"/>
    <n v="539"/>
    <n v="539"/>
    <x v="3"/>
    <x v="1"/>
    <n v="45"/>
    <s v="No"/>
    <n v="40.96"/>
    <n v="260.25"/>
    <n v="192.79"/>
    <n v="539"/>
    <n v="37"/>
    <s v="2026-09"/>
  </r>
  <r>
    <s v="MS100573"/>
    <d v="2026-06-11T00:00:00"/>
    <x v="6"/>
    <s v="Women Kurti Set"/>
    <x v="3"/>
    <x v="6"/>
    <s v="Uttar Pradesh"/>
    <n v="1"/>
    <n v="699"/>
    <n v="25"/>
    <n v="524"/>
    <n v="524"/>
    <x v="0"/>
    <x v="1"/>
    <n v="55"/>
    <s v="No"/>
    <n v="26.24"/>
    <n v="263.24"/>
    <n v="179.52"/>
    <n v="524"/>
    <n v="24"/>
    <s v="2026-06"/>
  </r>
  <r>
    <s v="MS100574"/>
    <d v="2026-04-28T00:00:00"/>
    <x v="0"/>
    <s v="Women's Top"/>
    <x v="3"/>
    <x v="7"/>
    <s v="Delhi"/>
    <n v="1"/>
    <n v="399"/>
    <n v="20"/>
    <n v="319"/>
    <n v="319"/>
    <x v="0"/>
    <x v="1"/>
    <n v="65"/>
    <s v="No"/>
    <n v="25.51"/>
    <n v="141.01"/>
    <n v="87.48"/>
    <n v="319"/>
    <n v="18"/>
    <s v="2026-04"/>
  </r>
  <r>
    <s v="MS100575"/>
    <d v="2026-09-16T00:00:00"/>
    <x v="7"/>
    <s v="Leggings"/>
    <x v="3"/>
    <x v="7"/>
    <s v="Delhi"/>
    <n v="1"/>
    <n v="299"/>
    <n v="20"/>
    <n v="239"/>
    <n v="239"/>
    <x v="3"/>
    <x v="0"/>
    <n v="65"/>
    <s v="No"/>
    <n v="10.58"/>
    <n v="115.9"/>
    <n v="47.52"/>
    <n v="239"/>
    <n v="38"/>
    <s v="2026-09"/>
  </r>
  <r>
    <s v="MS100576"/>
    <d v="2026-02-23T00:00:00"/>
    <x v="8"/>
    <s v="Bedsheet"/>
    <x v="4"/>
    <x v="6"/>
    <s v="Uttar Pradesh"/>
    <n v="1"/>
    <n v="699"/>
    <n v="15"/>
    <n v="594"/>
    <n v="594"/>
    <x v="0"/>
    <x v="1"/>
    <n v="45"/>
    <s v="No"/>
    <n v="29.88"/>
    <n v="257.54000000000002"/>
    <n v="261.58"/>
    <n v="594"/>
    <n v="9"/>
    <s v="2026-02"/>
  </r>
  <r>
    <s v="MS100577"/>
    <d v="2026-08-24T00:00:00"/>
    <x v="5"/>
    <s v="Leggings"/>
    <x v="3"/>
    <x v="8"/>
    <s v="Telangana"/>
    <n v="2"/>
    <n v="299"/>
    <n v="25"/>
    <n v="224"/>
    <n v="448"/>
    <x v="1"/>
    <x v="0"/>
    <n v="45"/>
    <s v="No"/>
    <n v="27.01"/>
    <n v="213.79"/>
    <n v="162.19999999999999"/>
    <n v="224"/>
    <n v="35"/>
    <s v="2026-08"/>
  </r>
  <r>
    <s v="MS100578"/>
    <d v="2026-08-10T00:00:00"/>
    <x v="5"/>
    <s v="Leggings"/>
    <x v="3"/>
    <x v="5"/>
    <s v="Maharashtra"/>
    <n v="1"/>
    <n v="299"/>
    <n v="40"/>
    <n v="179"/>
    <n v="179"/>
    <x v="0"/>
    <x v="0"/>
    <n v="65"/>
    <s v="No"/>
    <n v="11.48"/>
    <n v="86.89"/>
    <n v="15.63"/>
    <n v="179"/>
    <n v="33"/>
    <s v="2026-08"/>
  </r>
  <r>
    <s v="MS100579"/>
    <d v="2026-09-08T00:00:00"/>
    <x v="7"/>
    <s v="Kids Dress"/>
    <x v="1"/>
    <x v="2"/>
    <s v="Maharashtra"/>
    <n v="2"/>
    <n v="599"/>
    <n v="40"/>
    <n v="359"/>
    <n v="718"/>
    <x v="2"/>
    <x v="0"/>
    <n v="55"/>
    <s v="Yes"/>
    <n v="31.36"/>
    <n v="350.45"/>
    <n v="281.19"/>
    <n v="359"/>
    <n v="37"/>
    <s v="2026-09"/>
  </r>
  <r>
    <s v="MS100580"/>
    <d v="2026-04-22T00:00:00"/>
    <x v="0"/>
    <s v="Handbag"/>
    <x v="6"/>
    <x v="7"/>
    <s v="Delhi"/>
    <n v="1"/>
    <n v="549"/>
    <n v="40"/>
    <n v="329"/>
    <n v="329"/>
    <x v="4"/>
    <x v="1"/>
    <n v="45"/>
    <s v="No"/>
    <n v="20.9"/>
    <n v="145.18"/>
    <n v="117.92"/>
    <n v="329"/>
    <n v="17"/>
    <s v="2026-04"/>
  </r>
  <r>
    <s v="MS100581"/>
    <d v="2026-09-12T00:00:00"/>
    <x v="7"/>
    <s v="Women's Slippers"/>
    <x v="5"/>
    <x v="5"/>
    <s v="Maharashtra"/>
    <n v="1"/>
    <n v="299"/>
    <n v="20"/>
    <n v="239"/>
    <n v="239"/>
    <x v="0"/>
    <x v="1"/>
    <n v="35"/>
    <s v="No"/>
    <n v="18.61"/>
    <n v="106.96"/>
    <n v="78.430000000000007"/>
    <n v="239"/>
    <n v="37"/>
    <s v="2026-09"/>
  </r>
  <r>
    <s v="MS100582"/>
    <d v="2026-07-26T00:00:00"/>
    <x v="2"/>
    <s v="Women's Top"/>
    <x v="3"/>
    <x v="2"/>
    <s v="Maharashtra"/>
    <n v="1"/>
    <n v="399"/>
    <n v="35"/>
    <n v="259"/>
    <n v="259"/>
    <x v="2"/>
    <x v="0"/>
    <n v="35"/>
    <s v="Yes"/>
    <n v="14.04"/>
    <n v="126.46"/>
    <n v="83.5"/>
    <n v="259"/>
    <n v="30"/>
    <s v="2026-07"/>
  </r>
  <r>
    <s v="MS100583"/>
    <d v="2026-08-17T00:00:00"/>
    <x v="5"/>
    <s v="Leggings"/>
    <x v="3"/>
    <x v="5"/>
    <s v="Maharashtra"/>
    <n v="1"/>
    <n v="299"/>
    <n v="10"/>
    <n v="269"/>
    <n v="269"/>
    <x v="3"/>
    <x v="0"/>
    <n v="35"/>
    <s v="No"/>
    <n v="10.89"/>
    <n v="116.74"/>
    <n v="106.37"/>
    <n v="269"/>
    <n v="34"/>
    <s v="2026-08"/>
  </r>
  <r>
    <s v="MS100584"/>
    <d v="2026-03-07T00:00:00"/>
    <x v="1"/>
    <s v="Men's T-Shirt"/>
    <x v="2"/>
    <x v="4"/>
    <s v="Rajasthan"/>
    <n v="1"/>
    <n v="449"/>
    <n v="35"/>
    <n v="292"/>
    <n v="292"/>
    <x v="3"/>
    <x v="0"/>
    <n v="45"/>
    <s v="No"/>
    <n v="14.54"/>
    <n v="134.94"/>
    <n v="97.52"/>
    <n v="292"/>
    <n v="10"/>
    <s v="2026-03"/>
  </r>
  <r>
    <s v="MS100585"/>
    <d v="2026-03-16T00:00:00"/>
    <x v="1"/>
    <s v="Kids Dress"/>
    <x v="1"/>
    <x v="6"/>
    <s v="Uttar Pradesh"/>
    <n v="1"/>
    <n v="599"/>
    <n v="20"/>
    <n v="479"/>
    <n v="479"/>
    <x v="0"/>
    <x v="1"/>
    <n v="35"/>
    <s v="No"/>
    <n v="24.03"/>
    <n v="231.41"/>
    <n v="188.56"/>
    <n v="479"/>
    <n v="12"/>
    <s v="2026-03"/>
  </r>
  <r>
    <s v="MS100586"/>
    <d v="2026-04-13T00:00:00"/>
    <x v="0"/>
    <s v="Men's T-Shirt"/>
    <x v="2"/>
    <x v="1"/>
    <s v="Karnataka"/>
    <n v="1"/>
    <n v="449"/>
    <n v="25"/>
    <n v="337"/>
    <n v="337"/>
    <x v="0"/>
    <x v="0"/>
    <n v="35"/>
    <s v="No"/>
    <n v="20.85"/>
    <n v="144.62"/>
    <n v="136.53"/>
    <n v="337"/>
    <n v="16"/>
    <s v="2026-04"/>
  </r>
  <r>
    <s v="MS100587"/>
    <d v="2026-07-11T00:00:00"/>
    <x v="2"/>
    <s v="Leggings"/>
    <x v="3"/>
    <x v="1"/>
    <s v="Karnataka"/>
    <n v="1"/>
    <n v="299"/>
    <n v="15"/>
    <n v="254"/>
    <n v="254"/>
    <x v="0"/>
    <x v="1"/>
    <n v="55"/>
    <s v="No"/>
    <n v="14.19"/>
    <n v="109.85"/>
    <n v="74.959999999999994"/>
    <n v="254"/>
    <n v="28"/>
    <s v="2026-07"/>
  </r>
  <r>
    <s v="MS100588"/>
    <d v="2026-09-09T00:00:00"/>
    <x v="7"/>
    <s v="Leggings"/>
    <x v="3"/>
    <x v="8"/>
    <s v="Telangana"/>
    <n v="1"/>
    <n v="299"/>
    <n v="15"/>
    <n v="254"/>
    <n v="254"/>
    <x v="0"/>
    <x v="1"/>
    <n v="65"/>
    <s v="No"/>
    <n v="19.98"/>
    <n v="117.87"/>
    <n v="51.15"/>
    <n v="254"/>
    <n v="37"/>
    <s v="2026-09"/>
  </r>
  <r>
    <s v="MS100589"/>
    <d v="2026-08-14T00:00:00"/>
    <x v="5"/>
    <s v="Women's Slippers"/>
    <x v="5"/>
    <x v="6"/>
    <s v="Uttar Pradesh"/>
    <n v="2"/>
    <n v="299"/>
    <n v="25"/>
    <n v="224"/>
    <n v="448"/>
    <x v="0"/>
    <x v="1"/>
    <n v="65"/>
    <s v="No"/>
    <n v="23.01"/>
    <n v="219.25"/>
    <n v="140.74"/>
    <n v="224"/>
    <n v="33"/>
    <s v="2026-08"/>
  </r>
  <r>
    <s v="MS100590"/>
    <d v="2026-04-08T00:00:00"/>
    <x v="0"/>
    <s v="Kitchen Storage Set"/>
    <x v="4"/>
    <x v="8"/>
    <s v="Telangana"/>
    <n v="1"/>
    <n v="499"/>
    <n v="10"/>
    <n v="449"/>
    <n v="449"/>
    <x v="0"/>
    <x v="1"/>
    <n v="35"/>
    <s v="No"/>
    <n v="19.86"/>
    <n v="225.08"/>
    <n v="169.06"/>
    <n v="449"/>
    <n v="15"/>
    <s v="2026-04"/>
  </r>
  <r>
    <s v="MS100591"/>
    <d v="2026-09-06T00:00:00"/>
    <x v="7"/>
    <s v="Leggings"/>
    <x v="3"/>
    <x v="8"/>
    <s v="Telangana"/>
    <n v="2"/>
    <n v="299"/>
    <n v="25"/>
    <n v="224"/>
    <n v="448"/>
    <x v="1"/>
    <x v="0"/>
    <n v="65"/>
    <s v="No"/>
    <n v="29.98"/>
    <n v="210.44"/>
    <n v="142.58000000000001"/>
    <n v="224"/>
    <n v="36"/>
    <s v="2026-09"/>
  </r>
  <r>
    <s v="MS100592"/>
    <d v="2026-06-15T00:00:00"/>
    <x v="6"/>
    <s v="Bedsheet"/>
    <x v="4"/>
    <x v="2"/>
    <s v="Maharashtra"/>
    <n v="1"/>
    <n v="699"/>
    <n v="20"/>
    <n v="559"/>
    <n v="559"/>
    <x v="0"/>
    <x v="0"/>
    <n v="35"/>
    <s v="No"/>
    <n v="35.32"/>
    <n v="244.09"/>
    <n v="244.59"/>
    <n v="559"/>
    <n v="25"/>
    <s v="2026-06"/>
  </r>
  <r>
    <s v="MS100593"/>
    <d v="2026-01-30T00:00:00"/>
    <x v="3"/>
    <s v="Kids Dress"/>
    <x v="1"/>
    <x v="6"/>
    <s v="Uttar Pradesh"/>
    <n v="1"/>
    <n v="599"/>
    <n v="20"/>
    <n v="479"/>
    <n v="479"/>
    <x v="4"/>
    <x v="0"/>
    <n v="35"/>
    <s v="No"/>
    <n v="19.440000000000001"/>
    <n v="245.3"/>
    <n v="179.26"/>
    <n v="479"/>
    <n v="5"/>
    <s v="2026-01"/>
  </r>
  <r>
    <s v="MS100594"/>
    <d v="2026-09-04T00:00:00"/>
    <x v="7"/>
    <s v="Bedsheet"/>
    <x v="4"/>
    <x v="6"/>
    <s v="Uttar Pradesh"/>
    <n v="1"/>
    <n v="699"/>
    <n v="25"/>
    <n v="524"/>
    <n v="524"/>
    <x v="0"/>
    <x v="0"/>
    <n v="65"/>
    <s v="No"/>
    <n v="32.99"/>
    <n v="238.46"/>
    <n v="187.55"/>
    <n v="524"/>
    <n v="36"/>
    <s v="2026-09"/>
  </r>
  <r>
    <s v="MS100595"/>
    <d v="2026-04-16T00:00:00"/>
    <x v="0"/>
    <s v="Makeup Organizer"/>
    <x v="0"/>
    <x v="7"/>
    <s v="Delhi"/>
    <n v="2"/>
    <n v="349"/>
    <n v="35"/>
    <n v="227"/>
    <n v="454"/>
    <x v="0"/>
    <x v="1"/>
    <n v="55"/>
    <s v="No"/>
    <n v="23.47"/>
    <n v="204.06"/>
    <n v="171.47"/>
    <n v="227"/>
    <n v="16"/>
    <s v="2026-04"/>
  </r>
  <r>
    <s v="MS100596"/>
    <d v="2026-02-20T00:00:00"/>
    <x v="8"/>
    <s v="Oxidised Jewellery Set"/>
    <x v="7"/>
    <x v="4"/>
    <s v="Rajasthan"/>
    <n v="1"/>
    <n v="249"/>
    <n v="35"/>
    <n v="162"/>
    <n v="162"/>
    <x v="0"/>
    <x v="1"/>
    <n v="45"/>
    <s v="No"/>
    <n v="7.75"/>
    <n v="83.39"/>
    <n v="25.86"/>
    <n v="162"/>
    <n v="8"/>
    <s v="2026-02"/>
  </r>
  <r>
    <s v="MS100597"/>
    <d v="2026-03-22T00:00:00"/>
    <x v="1"/>
    <s v="Oxidised Jewellery Set"/>
    <x v="7"/>
    <x v="1"/>
    <s v="Karnataka"/>
    <n v="1"/>
    <n v="249"/>
    <n v="25"/>
    <n v="187"/>
    <n v="187"/>
    <x v="0"/>
    <x v="1"/>
    <n v="35"/>
    <s v="No"/>
    <n v="9.74"/>
    <n v="82.06"/>
    <n v="60.2"/>
    <n v="187"/>
    <n v="12"/>
    <s v="2026-03"/>
  </r>
  <r>
    <s v="MS100598"/>
    <d v="2026-05-13T00:00:00"/>
    <x v="4"/>
    <s v="Leggings"/>
    <x v="3"/>
    <x v="1"/>
    <s v="Karnataka"/>
    <n v="1"/>
    <n v="299"/>
    <n v="10"/>
    <n v="269"/>
    <n v="269"/>
    <x v="0"/>
    <x v="1"/>
    <n v="35"/>
    <s v="No"/>
    <n v="11.91"/>
    <n v="124.37"/>
    <n v="97.72"/>
    <n v="269"/>
    <n v="20"/>
    <s v="2026-05"/>
  </r>
  <r>
    <s v="MS100599"/>
    <d v="2026-05-18T00:00:00"/>
    <x v="4"/>
    <s v="Bedsheet"/>
    <x v="4"/>
    <x v="8"/>
    <s v="Telangana"/>
    <n v="1"/>
    <n v="699"/>
    <n v="10"/>
    <n v="629"/>
    <n v="629"/>
    <x v="2"/>
    <x v="1"/>
    <n v="35"/>
    <s v="Yes"/>
    <n v="29.31"/>
    <n v="272.02"/>
    <n v="292.67"/>
    <n v="629"/>
    <n v="21"/>
    <s v="2026-05"/>
  </r>
  <r>
    <s v="MS100600"/>
    <d v="2026-07-03T00:00:00"/>
    <x v="2"/>
    <s v="Printed Saree"/>
    <x v="3"/>
    <x v="8"/>
    <s v="Telangana"/>
    <n v="1"/>
    <n v="899"/>
    <n v="5"/>
    <n v="854"/>
    <n v="854"/>
    <x v="0"/>
    <x v="0"/>
    <n v="35"/>
    <s v="No"/>
    <n v="35.49"/>
    <n v="397.59"/>
    <n v="385.92"/>
    <n v="854"/>
    <n v="27"/>
    <s v="2026-07"/>
  </r>
  <r>
    <s v="MS100601"/>
    <d v="2026-03-10T00:00:00"/>
    <x v="1"/>
    <s v="Handbag"/>
    <x v="6"/>
    <x v="3"/>
    <s v="West Bengal"/>
    <n v="1"/>
    <n v="549"/>
    <n v="15"/>
    <n v="467"/>
    <n v="467"/>
    <x v="0"/>
    <x v="0"/>
    <n v="65"/>
    <s v="No"/>
    <n v="31.28"/>
    <n v="241.9"/>
    <n v="128.82"/>
    <n v="467"/>
    <n v="11"/>
    <s v="2026-03"/>
  </r>
  <r>
    <s v="MS100602"/>
    <d v="2026-02-03T00:00:00"/>
    <x v="8"/>
    <s v="Oxidised Jewellery Set"/>
    <x v="7"/>
    <x v="5"/>
    <s v="Maharashtra"/>
    <n v="1"/>
    <n v="249"/>
    <n v="30"/>
    <n v="174"/>
    <n v="174"/>
    <x v="0"/>
    <x v="1"/>
    <n v="55"/>
    <s v="No"/>
    <n v="12.93"/>
    <n v="87.3"/>
    <n v="18.77"/>
    <n v="174"/>
    <n v="6"/>
    <s v="2026-02"/>
  </r>
  <r>
    <s v="MS100603"/>
    <d v="2026-09-19T00:00:00"/>
    <x v="7"/>
    <s v="Oxidised Jewellery Set"/>
    <x v="7"/>
    <x v="4"/>
    <s v="Rajasthan"/>
    <n v="1"/>
    <n v="249"/>
    <n v="25"/>
    <n v="187"/>
    <n v="187"/>
    <x v="0"/>
    <x v="0"/>
    <n v="65"/>
    <s v="No"/>
    <n v="14.52"/>
    <n v="81.81"/>
    <n v="25.67"/>
    <n v="187"/>
    <n v="38"/>
    <s v="2026-09"/>
  </r>
  <r>
    <s v="MS100604"/>
    <d v="2026-02-22T00:00:00"/>
    <x v="8"/>
    <s v="Kitchen Storage Set"/>
    <x v="4"/>
    <x v="2"/>
    <s v="Maharashtra"/>
    <n v="1"/>
    <n v="499"/>
    <n v="10"/>
    <n v="449"/>
    <n v="449"/>
    <x v="0"/>
    <x v="1"/>
    <n v="35"/>
    <s v="No"/>
    <n v="18.03"/>
    <n v="195.88"/>
    <n v="200.09"/>
    <n v="449"/>
    <n v="8"/>
    <s v="2026-02"/>
  </r>
  <r>
    <s v="MS100605"/>
    <d v="2026-07-24T00:00:00"/>
    <x v="2"/>
    <s v="Leggings"/>
    <x v="3"/>
    <x v="6"/>
    <s v="Uttar Pradesh"/>
    <n v="2"/>
    <n v="299"/>
    <n v="25"/>
    <n v="224"/>
    <n v="448"/>
    <x v="0"/>
    <x v="1"/>
    <n v="45"/>
    <s v="No"/>
    <n v="20.54"/>
    <n v="225.03"/>
    <n v="157.43"/>
    <n v="224"/>
    <n v="30"/>
    <s v="2026-07"/>
  </r>
  <r>
    <s v="MS100606"/>
    <d v="2026-05-06T00:00:00"/>
    <x v="4"/>
    <s v="Handbag"/>
    <x v="6"/>
    <x v="7"/>
    <s v="Delhi"/>
    <n v="2"/>
    <n v="549"/>
    <n v="10"/>
    <n v="494"/>
    <n v="988"/>
    <x v="0"/>
    <x v="0"/>
    <n v="45"/>
    <s v="No"/>
    <n v="75.47"/>
    <n v="441.6"/>
    <n v="425.93"/>
    <n v="494"/>
    <n v="19"/>
    <s v="2026-05"/>
  </r>
  <r>
    <s v="MS100607"/>
    <d v="2026-08-23T00:00:00"/>
    <x v="5"/>
    <s v="Kitchen Storage Set"/>
    <x v="4"/>
    <x v="3"/>
    <s v="West Bengal"/>
    <n v="1"/>
    <n v="499"/>
    <n v="15"/>
    <n v="424"/>
    <n v="424"/>
    <x v="3"/>
    <x v="0"/>
    <n v="65"/>
    <s v="No"/>
    <n v="20.98"/>
    <n v="181.64"/>
    <n v="156.38"/>
    <n v="424"/>
    <n v="34"/>
    <s v="2026-08"/>
  </r>
  <r>
    <s v="MS100608"/>
    <d v="2026-02-12T00:00:00"/>
    <x v="8"/>
    <s v="Women's Top"/>
    <x v="3"/>
    <x v="9"/>
    <s v="Gujarat"/>
    <n v="3"/>
    <n v="399"/>
    <n v="15"/>
    <n v="339"/>
    <n v="1017"/>
    <x v="0"/>
    <x v="1"/>
    <n v="35"/>
    <s v="No"/>
    <n v="52.86"/>
    <n v="437.33"/>
    <n v="491.81"/>
    <n v="339"/>
    <n v="7"/>
    <s v="2026-02"/>
  </r>
  <r>
    <s v="MS100609"/>
    <d v="2026-08-28T00:00:00"/>
    <x v="5"/>
    <s v="Handbag"/>
    <x v="6"/>
    <x v="5"/>
    <s v="Maharashtra"/>
    <n v="1"/>
    <n v="549"/>
    <n v="10"/>
    <n v="494"/>
    <n v="494"/>
    <x v="0"/>
    <x v="0"/>
    <n v="45"/>
    <s v="No"/>
    <n v="28.04"/>
    <n v="232.9"/>
    <n v="188.06"/>
    <n v="494"/>
    <n v="35"/>
    <s v="2026-08"/>
  </r>
  <r>
    <s v="MS100610"/>
    <d v="2026-04-21T00:00:00"/>
    <x v="0"/>
    <s v="Oxidised Jewellery Set"/>
    <x v="7"/>
    <x v="7"/>
    <s v="Delhi"/>
    <n v="2"/>
    <n v="249"/>
    <n v="15"/>
    <n v="212"/>
    <n v="424"/>
    <x v="0"/>
    <x v="0"/>
    <n v="35"/>
    <s v="No"/>
    <n v="28.12"/>
    <n v="208.93"/>
    <n v="151.94999999999999"/>
    <n v="212"/>
    <n v="17"/>
    <s v="2026-04"/>
  </r>
  <r>
    <s v="MS100611"/>
    <d v="2026-09-06T00:00:00"/>
    <x v="7"/>
    <s v="Printed Saree"/>
    <x v="3"/>
    <x v="8"/>
    <s v="Telangana"/>
    <n v="1"/>
    <n v="899"/>
    <n v="25"/>
    <n v="674"/>
    <n v="674"/>
    <x v="3"/>
    <x v="1"/>
    <n v="55"/>
    <s v="No"/>
    <n v="36.69"/>
    <n v="333.82"/>
    <n v="248.49"/>
    <n v="674"/>
    <n v="36"/>
    <s v="2026-09"/>
  </r>
  <r>
    <s v="MS100612"/>
    <d v="2026-05-31T00:00:00"/>
    <x v="4"/>
    <s v="Leggings"/>
    <x v="3"/>
    <x v="9"/>
    <s v="Gujarat"/>
    <n v="1"/>
    <n v="299"/>
    <n v="40"/>
    <n v="179"/>
    <n v="179"/>
    <x v="0"/>
    <x v="1"/>
    <n v="45"/>
    <s v="No"/>
    <n v="13.31"/>
    <n v="81.349999999999994"/>
    <n v="39.340000000000003"/>
    <n v="179"/>
    <n v="22"/>
    <s v="2026-05"/>
  </r>
  <r>
    <s v="MS100613"/>
    <d v="2026-07-02T00:00:00"/>
    <x v="2"/>
    <s v="Women Kurti Set"/>
    <x v="3"/>
    <x v="5"/>
    <s v="Maharashtra"/>
    <n v="2"/>
    <n v="699"/>
    <n v="25"/>
    <n v="524"/>
    <n v="1048"/>
    <x v="0"/>
    <x v="1"/>
    <n v="45"/>
    <s v="No"/>
    <n v="59.42"/>
    <n v="455.28"/>
    <n v="488.3"/>
    <n v="524"/>
    <n v="27"/>
    <s v="2026-07"/>
  </r>
  <r>
    <s v="MS100614"/>
    <d v="2026-04-05T00:00:00"/>
    <x v="0"/>
    <s v="Women's Slippers"/>
    <x v="5"/>
    <x v="9"/>
    <s v="Gujarat"/>
    <n v="1"/>
    <n v="299"/>
    <n v="20"/>
    <n v="239"/>
    <n v="239"/>
    <x v="0"/>
    <x v="1"/>
    <n v="35"/>
    <s v="No"/>
    <n v="12.62"/>
    <n v="112.47"/>
    <n v="78.91"/>
    <n v="239"/>
    <n v="14"/>
    <s v="2026-04"/>
  </r>
  <r>
    <s v="MS100615"/>
    <d v="2026-01-08T00:00:00"/>
    <x v="3"/>
    <s v="Kitchen Storage Set"/>
    <x v="4"/>
    <x v="7"/>
    <s v="Delhi"/>
    <n v="2"/>
    <n v="499"/>
    <n v="35"/>
    <n v="324"/>
    <n v="648"/>
    <x v="0"/>
    <x v="0"/>
    <n v="55"/>
    <s v="No"/>
    <n v="26.42"/>
    <n v="316.86"/>
    <n v="249.72"/>
    <n v="324"/>
    <n v="2"/>
    <s v="2026-01"/>
  </r>
  <r>
    <s v="MS100616"/>
    <d v="2026-07-03T00:00:00"/>
    <x v="2"/>
    <s v="Makeup Organizer"/>
    <x v="0"/>
    <x v="7"/>
    <s v="Delhi"/>
    <n v="1"/>
    <n v="349"/>
    <n v="5"/>
    <n v="332"/>
    <n v="332"/>
    <x v="0"/>
    <x v="1"/>
    <n v="35"/>
    <s v="No"/>
    <n v="15.21"/>
    <n v="168.59"/>
    <n v="113.2"/>
    <n v="332"/>
    <n v="27"/>
    <s v="2026-07"/>
  </r>
  <r>
    <s v="MS100617"/>
    <d v="2026-07-14T00:00:00"/>
    <x v="2"/>
    <s v="Oxidised Jewellery Set"/>
    <x v="7"/>
    <x v="4"/>
    <s v="Rajasthan"/>
    <n v="1"/>
    <n v="249"/>
    <n v="15"/>
    <n v="212"/>
    <n v="212"/>
    <x v="0"/>
    <x v="0"/>
    <n v="65"/>
    <s v="No"/>
    <n v="9.07"/>
    <n v="101.3"/>
    <n v="36.630000000000003"/>
    <n v="212"/>
    <n v="29"/>
    <s v="2026-07"/>
  </r>
  <r>
    <s v="MS100618"/>
    <d v="2026-07-14T00:00:00"/>
    <x v="2"/>
    <s v="Women's Slippers"/>
    <x v="5"/>
    <x v="2"/>
    <s v="Maharashtra"/>
    <n v="1"/>
    <n v="299"/>
    <n v="5"/>
    <n v="284"/>
    <n v="284"/>
    <x v="3"/>
    <x v="0"/>
    <n v="35"/>
    <s v="No"/>
    <n v="18.48"/>
    <n v="129.47"/>
    <n v="101.05"/>
    <n v="284"/>
    <n v="29"/>
    <s v="2026-07"/>
  </r>
  <r>
    <s v="MS100619"/>
    <d v="2026-06-04T00:00:00"/>
    <x v="6"/>
    <s v="Makeup Organizer"/>
    <x v="0"/>
    <x v="2"/>
    <s v="Maharashtra"/>
    <n v="1"/>
    <n v="349"/>
    <n v="15"/>
    <n v="297"/>
    <n v="297"/>
    <x v="1"/>
    <x v="0"/>
    <n v="45"/>
    <s v="No"/>
    <n v="17.239999999999998"/>
    <n v="146.09"/>
    <n v="88.67"/>
    <n v="297"/>
    <n v="23"/>
    <s v="2026-06"/>
  </r>
  <r>
    <s v="MS100620"/>
    <d v="2026-04-03T00:00:00"/>
    <x v="0"/>
    <s v="Men's T-Shirt"/>
    <x v="2"/>
    <x v="5"/>
    <s v="Maharashtra"/>
    <n v="1"/>
    <n v="449"/>
    <n v="15"/>
    <n v="382"/>
    <n v="382"/>
    <x v="0"/>
    <x v="1"/>
    <n v="45"/>
    <s v="No"/>
    <n v="20.41"/>
    <n v="196.82"/>
    <n v="119.77"/>
    <n v="382"/>
    <n v="14"/>
    <s v="2026-04"/>
  </r>
  <r>
    <s v="MS100621"/>
    <d v="2026-06-09T00:00:00"/>
    <x v="6"/>
    <s v="Handbag"/>
    <x v="6"/>
    <x v="9"/>
    <s v="Gujarat"/>
    <n v="2"/>
    <n v="549"/>
    <n v="20"/>
    <n v="439"/>
    <n v="878"/>
    <x v="0"/>
    <x v="0"/>
    <n v="35"/>
    <s v="No"/>
    <n v="57"/>
    <n v="408"/>
    <n v="378"/>
    <n v="439"/>
    <n v="24"/>
    <s v="2026-06"/>
  </r>
  <r>
    <s v="MS100622"/>
    <d v="2026-03-02T00:00:00"/>
    <x v="1"/>
    <s v="Kids Dress"/>
    <x v="1"/>
    <x v="3"/>
    <s v="West Bengal"/>
    <n v="1"/>
    <n v="599"/>
    <n v="20"/>
    <n v="479"/>
    <n v="479"/>
    <x v="2"/>
    <x v="1"/>
    <n v="55"/>
    <s v="Yes"/>
    <n v="37.03"/>
    <n v="207.18"/>
    <n v="179.79"/>
    <n v="479"/>
    <n v="10"/>
    <s v="2026-03"/>
  </r>
  <r>
    <s v="MS100623"/>
    <d v="2026-05-02T00:00:00"/>
    <x v="4"/>
    <s v="Makeup Organizer"/>
    <x v="0"/>
    <x v="6"/>
    <s v="Uttar Pradesh"/>
    <n v="2"/>
    <n v="349"/>
    <n v="20"/>
    <n v="279"/>
    <n v="558"/>
    <x v="0"/>
    <x v="1"/>
    <n v="55"/>
    <s v="No"/>
    <n v="24.76"/>
    <n v="288.25"/>
    <n v="189.99"/>
    <n v="279"/>
    <n v="18"/>
    <s v="2026-05"/>
  </r>
  <r>
    <s v="MS100624"/>
    <d v="2026-02-20T00:00:00"/>
    <x v="8"/>
    <s v="Women's Top"/>
    <x v="3"/>
    <x v="7"/>
    <s v="Delhi"/>
    <n v="1"/>
    <n v="399"/>
    <n v="25"/>
    <n v="299"/>
    <n v="299"/>
    <x v="3"/>
    <x v="1"/>
    <n v="55"/>
    <s v="No"/>
    <n v="12.02"/>
    <n v="137.91999999999999"/>
    <n v="94.06"/>
    <n v="299"/>
    <n v="8"/>
    <s v="2026-02"/>
  </r>
  <r>
    <s v="MS100625"/>
    <d v="2026-01-05T00:00:00"/>
    <x v="3"/>
    <s v="Kitchen Storage Set"/>
    <x v="4"/>
    <x v="0"/>
    <s v="Maharashtra"/>
    <n v="1"/>
    <n v="499"/>
    <n v="20"/>
    <n v="399"/>
    <n v="399"/>
    <x v="0"/>
    <x v="1"/>
    <n v="45"/>
    <s v="No"/>
    <n v="27.65"/>
    <n v="194.9"/>
    <n v="131.44999999999999"/>
    <n v="399"/>
    <n v="2"/>
    <s v="2026-01"/>
  </r>
  <r>
    <s v="MS100626"/>
    <d v="2026-04-02T00:00:00"/>
    <x v="0"/>
    <s v="Handbag"/>
    <x v="6"/>
    <x v="9"/>
    <s v="Gujarat"/>
    <n v="1"/>
    <n v="549"/>
    <n v="15"/>
    <n v="467"/>
    <n v="467"/>
    <x v="2"/>
    <x v="1"/>
    <n v="65"/>
    <s v="Yes"/>
    <n v="35.11"/>
    <n v="241.23"/>
    <n v="125.66"/>
    <n v="467"/>
    <n v="14"/>
    <s v="2026-04"/>
  </r>
  <r>
    <s v="MS100627"/>
    <d v="2026-06-19T00:00:00"/>
    <x v="6"/>
    <s v="Printed Saree"/>
    <x v="3"/>
    <x v="6"/>
    <s v="Uttar Pradesh"/>
    <n v="1"/>
    <n v="899"/>
    <n v="25"/>
    <n v="674"/>
    <n v="674"/>
    <x v="1"/>
    <x v="0"/>
    <n v="45"/>
    <s v="No"/>
    <n v="53.39"/>
    <n v="326.89999999999998"/>
    <n v="248.71"/>
    <n v="674"/>
    <n v="25"/>
    <s v="2026-06"/>
  </r>
  <r>
    <s v="MS100628"/>
    <d v="2026-01-22T00:00:00"/>
    <x v="3"/>
    <s v="Women Kurti Set"/>
    <x v="3"/>
    <x v="8"/>
    <s v="Telangana"/>
    <n v="1"/>
    <n v="699"/>
    <n v="15"/>
    <n v="594"/>
    <n v="594"/>
    <x v="0"/>
    <x v="0"/>
    <n v="55"/>
    <s v="No"/>
    <n v="26.94"/>
    <n v="256.36"/>
    <n v="255.7"/>
    <n v="594"/>
    <n v="4"/>
    <s v="2026-01"/>
  </r>
  <r>
    <s v="MS100629"/>
    <d v="2026-01-01T00:00:00"/>
    <x v="3"/>
    <s v="Kids Dress"/>
    <x v="1"/>
    <x v="9"/>
    <s v="Gujarat"/>
    <n v="1"/>
    <n v="599"/>
    <n v="5"/>
    <n v="569"/>
    <n v="569"/>
    <x v="0"/>
    <x v="0"/>
    <n v="35"/>
    <s v="No"/>
    <n v="43.42"/>
    <n v="243.95"/>
    <n v="246.63"/>
    <n v="569"/>
    <n v="1"/>
    <s v="2026-01"/>
  </r>
  <r>
    <s v="MS100630"/>
    <d v="2026-05-13T00:00:00"/>
    <x v="4"/>
    <s v="Women's Slippers"/>
    <x v="5"/>
    <x v="4"/>
    <s v="Rajasthan"/>
    <n v="2"/>
    <n v="299"/>
    <n v="15"/>
    <n v="254"/>
    <n v="508"/>
    <x v="1"/>
    <x v="1"/>
    <n v="45"/>
    <s v="No"/>
    <n v="23.32"/>
    <n v="261.16000000000003"/>
    <n v="178.52"/>
    <n v="254"/>
    <n v="20"/>
    <s v="2026-05"/>
  </r>
  <r>
    <s v="MS100631"/>
    <d v="2026-08-21T00:00:00"/>
    <x v="5"/>
    <s v="Kids Dress"/>
    <x v="1"/>
    <x v="2"/>
    <s v="Maharashtra"/>
    <n v="1"/>
    <n v="599"/>
    <n v="40"/>
    <n v="359"/>
    <n v="359"/>
    <x v="0"/>
    <x v="1"/>
    <n v="45"/>
    <s v="No"/>
    <n v="14.6"/>
    <n v="185.26"/>
    <n v="114.14"/>
    <n v="359"/>
    <n v="34"/>
    <s v="2026-08"/>
  </r>
  <r>
    <s v="MS100632"/>
    <d v="2026-01-12T00:00:00"/>
    <x v="3"/>
    <s v="Oxidised Jewellery Set"/>
    <x v="7"/>
    <x v="3"/>
    <s v="West Bengal"/>
    <n v="1"/>
    <n v="249"/>
    <n v="25"/>
    <n v="187"/>
    <n v="187"/>
    <x v="2"/>
    <x v="0"/>
    <n v="55"/>
    <s v="Yes"/>
    <n v="11.96"/>
    <n v="84.93"/>
    <n v="35.11"/>
    <n v="187"/>
    <n v="3"/>
    <s v="2026-01"/>
  </r>
  <r>
    <s v="MS100633"/>
    <d v="2026-02-15T00:00:00"/>
    <x v="8"/>
    <s v="Women's Top"/>
    <x v="3"/>
    <x v="1"/>
    <s v="Karnataka"/>
    <n v="1"/>
    <n v="399"/>
    <n v="10"/>
    <n v="359"/>
    <n v="359"/>
    <x v="3"/>
    <x v="1"/>
    <n v="45"/>
    <s v="No"/>
    <n v="25.35"/>
    <n v="158.33000000000001"/>
    <n v="130.32"/>
    <n v="359"/>
    <n v="7"/>
    <s v="2026-02"/>
  </r>
  <r>
    <s v="MS100634"/>
    <d v="2026-02-03T00:00:00"/>
    <x v="8"/>
    <s v="Handbag"/>
    <x v="6"/>
    <x v="2"/>
    <s v="Maharashtra"/>
    <n v="1"/>
    <n v="549"/>
    <n v="35"/>
    <n v="357"/>
    <n v="357"/>
    <x v="0"/>
    <x v="1"/>
    <n v="65"/>
    <s v="No"/>
    <n v="16.52"/>
    <n v="184.3"/>
    <n v="91.18"/>
    <n v="357"/>
    <n v="6"/>
    <s v="2026-02"/>
  </r>
  <r>
    <s v="MS100635"/>
    <d v="2026-03-19T00:00:00"/>
    <x v="1"/>
    <s v="Women's Top"/>
    <x v="3"/>
    <x v="0"/>
    <s v="Maharashtra"/>
    <n v="1"/>
    <n v="399"/>
    <n v="15"/>
    <n v="339"/>
    <n v="339"/>
    <x v="1"/>
    <x v="1"/>
    <n v="55"/>
    <s v="No"/>
    <n v="22"/>
    <n v="174.06"/>
    <n v="87.94"/>
    <n v="339"/>
    <n v="12"/>
    <s v="2026-03"/>
  </r>
  <r>
    <s v="MS100636"/>
    <d v="2026-08-06T00:00:00"/>
    <x v="5"/>
    <s v="Men's T-Shirt"/>
    <x v="2"/>
    <x v="9"/>
    <s v="Gujarat"/>
    <n v="2"/>
    <n v="449"/>
    <n v="20"/>
    <n v="359"/>
    <n v="718"/>
    <x v="3"/>
    <x v="0"/>
    <n v="65"/>
    <s v="No"/>
    <n v="31.29"/>
    <n v="331.57"/>
    <n v="290.14"/>
    <n v="359"/>
    <n v="32"/>
    <s v="2026-08"/>
  </r>
  <r>
    <s v="MS100637"/>
    <d v="2026-03-14T00:00:00"/>
    <x v="1"/>
    <s v="Oxidised Jewellery Set"/>
    <x v="7"/>
    <x v="3"/>
    <s v="West Bengal"/>
    <n v="1"/>
    <n v="249"/>
    <n v="10"/>
    <n v="224"/>
    <n v="224"/>
    <x v="0"/>
    <x v="1"/>
    <n v="55"/>
    <s v="No"/>
    <n v="12.97"/>
    <n v="96.36"/>
    <n v="59.67"/>
    <n v="224"/>
    <n v="11"/>
    <s v="2026-03"/>
  </r>
  <r>
    <s v="MS100638"/>
    <d v="2026-09-06T00:00:00"/>
    <x v="7"/>
    <s v="Printed Saree"/>
    <x v="3"/>
    <x v="0"/>
    <s v="Maharashtra"/>
    <n v="1"/>
    <n v="899"/>
    <n v="10"/>
    <n v="809"/>
    <n v="809"/>
    <x v="0"/>
    <x v="1"/>
    <n v="65"/>
    <s v="No"/>
    <n v="55.45"/>
    <n v="410.46"/>
    <n v="278.08999999999997"/>
    <n v="809"/>
    <n v="36"/>
    <s v="2026-09"/>
  </r>
  <r>
    <s v="MS100639"/>
    <d v="2026-02-16T00:00:00"/>
    <x v="8"/>
    <s v="Oxidised Jewellery Set"/>
    <x v="7"/>
    <x v="1"/>
    <s v="Karnataka"/>
    <n v="1"/>
    <n v="249"/>
    <n v="10"/>
    <n v="224"/>
    <n v="224"/>
    <x v="0"/>
    <x v="0"/>
    <n v="65"/>
    <s v="No"/>
    <n v="10.01"/>
    <n v="104.23"/>
    <n v="44.76"/>
    <n v="224"/>
    <n v="8"/>
    <s v="2026-02"/>
  </r>
  <r>
    <s v="MS100640"/>
    <d v="2026-05-01T00:00:00"/>
    <x v="4"/>
    <s v="Women Kurti Set"/>
    <x v="3"/>
    <x v="2"/>
    <s v="Maharashtra"/>
    <n v="2"/>
    <n v="699"/>
    <n v="35"/>
    <n v="454"/>
    <n v="908"/>
    <x v="0"/>
    <x v="0"/>
    <n v="35"/>
    <s v="No"/>
    <n v="49.35"/>
    <n v="429.42"/>
    <n v="394.23"/>
    <n v="454"/>
    <n v="18"/>
    <s v="2026-05"/>
  </r>
  <r>
    <s v="MS100641"/>
    <d v="2026-08-02T00:00:00"/>
    <x v="5"/>
    <s v="Women's Top"/>
    <x v="3"/>
    <x v="4"/>
    <s v="Rajasthan"/>
    <n v="1"/>
    <n v="399"/>
    <n v="30"/>
    <n v="279"/>
    <n v="279"/>
    <x v="0"/>
    <x v="1"/>
    <n v="35"/>
    <s v="No"/>
    <n v="20.440000000000001"/>
    <n v="128.44"/>
    <n v="95.12"/>
    <n v="279"/>
    <n v="31"/>
    <s v="2026-08"/>
  </r>
  <r>
    <s v="MS100642"/>
    <d v="2026-08-27T00:00:00"/>
    <x v="5"/>
    <s v="Leggings"/>
    <x v="3"/>
    <x v="2"/>
    <s v="Maharashtra"/>
    <n v="2"/>
    <n v="299"/>
    <n v="35"/>
    <n v="194"/>
    <n v="388"/>
    <x v="0"/>
    <x v="1"/>
    <n v="45"/>
    <s v="No"/>
    <n v="20.7"/>
    <n v="167.1"/>
    <n v="155.19999999999999"/>
    <n v="194"/>
    <n v="35"/>
    <s v="2026-08"/>
  </r>
  <r>
    <s v="MS100643"/>
    <d v="2026-02-25T00:00:00"/>
    <x v="8"/>
    <s v="Women's Top"/>
    <x v="3"/>
    <x v="5"/>
    <s v="Maharashtra"/>
    <n v="1"/>
    <n v="399"/>
    <n v="20"/>
    <n v="319"/>
    <n v="319"/>
    <x v="0"/>
    <x v="1"/>
    <n v="55"/>
    <s v="No"/>
    <n v="16.88"/>
    <n v="151.34"/>
    <n v="95.78"/>
    <n v="319"/>
    <n v="9"/>
    <s v="2026-02"/>
  </r>
  <r>
    <s v="MS100644"/>
    <d v="2026-04-17T00:00:00"/>
    <x v="0"/>
    <s v="Women's Slippers"/>
    <x v="5"/>
    <x v="7"/>
    <s v="Delhi"/>
    <n v="1"/>
    <n v="299"/>
    <n v="40"/>
    <n v="179"/>
    <n v="179"/>
    <x v="0"/>
    <x v="1"/>
    <n v="35"/>
    <s v="No"/>
    <n v="8.48"/>
    <n v="84.09"/>
    <n v="51.43"/>
    <n v="179"/>
    <n v="16"/>
    <s v="2026-04"/>
  </r>
  <r>
    <s v="MS100645"/>
    <d v="2026-02-17T00:00:00"/>
    <x v="8"/>
    <s v="Kitchen Storage Set"/>
    <x v="4"/>
    <x v="0"/>
    <s v="Maharashtra"/>
    <n v="1"/>
    <n v="499"/>
    <n v="25"/>
    <n v="374"/>
    <n v="374"/>
    <x v="0"/>
    <x v="1"/>
    <n v="65"/>
    <s v="No"/>
    <n v="26.57"/>
    <n v="169.75"/>
    <n v="112.68"/>
    <n v="374"/>
    <n v="8"/>
    <s v="2026-02"/>
  </r>
  <r>
    <s v="MS100646"/>
    <d v="2026-03-02T00:00:00"/>
    <x v="1"/>
    <s v="Leggings"/>
    <x v="3"/>
    <x v="0"/>
    <s v="Maharashtra"/>
    <n v="1"/>
    <n v="299"/>
    <n v="20"/>
    <n v="239"/>
    <n v="239"/>
    <x v="1"/>
    <x v="0"/>
    <n v="45"/>
    <s v="No"/>
    <n v="17.920000000000002"/>
    <n v="108.81"/>
    <n v="67.27"/>
    <n v="239"/>
    <n v="10"/>
    <s v="2026-03"/>
  </r>
  <r>
    <s v="MS100647"/>
    <d v="2026-01-26T00:00:00"/>
    <x v="3"/>
    <s v="Men's T-Shirt"/>
    <x v="2"/>
    <x v="5"/>
    <s v="Maharashtra"/>
    <n v="1"/>
    <n v="449"/>
    <n v="20"/>
    <n v="359"/>
    <n v="359"/>
    <x v="0"/>
    <x v="0"/>
    <n v="45"/>
    <s v="No"/>
    <n v="17.170000000000002"/>
    <n v="184.66"/>
    <n v="112.17"/>
    <n v="359"/>
    <n v="5"/>
    <s v="2026-01"/>
  </r>
  <r>
    <s v="MS100648"/>
    <d v="2026-09-14T00:00:00"/>
    <x v="7"/>
    <s v="Kitchen Storage Set"/>
    <x v="4"/>
    <x v="1"/>
    <s v="Karnataka"/>
    <n v="1"/>
    <n v="499"/>
    <n v="15"/>
    <n v="424"/>
    <n v="424"/>
    <x v="3"/>
    <x v="0"/>
    <n v="65"/>
    <s v="No"/>
    <n v="24.65"/>
    <n v="179.69"/>
    <n v="154.66"/>
    <n v="424"/>
    <n v="38"/>
    <s v="2026-09"/>
  </r>
  <r>
    <s v="MS100649"/>
    <d v="2026-01-08T00:00:00"/>
    <x v="3"/>
    <s v="Leggings"/>
    <x v="3"/>
    <x v="7"/>
    <s v="Delhi"/>
    <n v="1"/>
    <n v="299"/>
    <n v="10"/>
    <n v="269"/>
    <n v="269"/>
    <x v="0"/>
    <x v="1"/>
    <n v="55"/>
    <s v="No"/>
    <n v="19.39"/>
    <n v="134.13999999999999"/>
    <n v="60.47"/>
    <n v="269"/>
    <n v="2"/>
    <s v="2026-01"/>
  </r>
  <r>
    <s v="MS100650"/>
    <d v="2026-04-23T00:00:00"/>
    <x v="0"/>
    <s v="Oxidised Jewellery Set"/>
    <x v="7"/>
    <x v="7"/>
    <s v="Delhi"/>
    <n v="1"/>
    <n v="249"/>
    <n v="15"/>
    <n v="212"/>
    <n v="212"/>
    <x v="0"/>
    <x v="1"/>
    <n v="55"/>
    <s v="No"/>
    <n v="15.94"/>
    <n v="93.17"/>
    <n v="47.89"/>
    <n v="212"/>
    <n v="17"/>
    <s v="2026-04"/>
  </r>
  <r>
    <s v="MS100651"/>
    <d v="2026-09-10T00:00:00"/>
    <x v="7"/>
    <s v="Bedsheet"/>
    <x v="4"/>
    <x v="1"/>
    <s v="Karnataka"/>
    <n v="1"/>
    <n v="699"/>
    <n v="35"/>
    <n v="454"/>
    <n v="454"/>
    <x v="0"/>
    <x v="0"/>
    <n v="45"/>
    <s v="No"/>
    <n v="27.84"/>
    <n v="212.08"/>
    <n v="169.08"/>
    <n v="454"/>
    <n v="37"/>
    <s v="2026-09"/>
  </r>
  <r>
    <s v="MS100652"/>
    <d v="2026-06-29T00:00:00"/>
    <x v="6"/>
    <s v="Men's T-Shirt"/>
    <x v="2"/>
    <x v="8"/>
    <s v="Telangana"/>
    <n v="2"/>
    <n v="449"/>
    <n v="10"/>
    <n v="404"/>
    <n v="808"/>
    <x v="0"/>
    <x v="1"/>
    <n v="45"/>
    <s v="No"/>
    <n v="52.52"/>
    <n v="415.81"/>
    <n v="294.67"/>
    <n v="404"/>
    <n v="27"/>
    <s v="2026-06"/>
  </r>
  <r>
    <s v="MS100653"/>
    <d v="2026-07-26T00:00:00"/>
    <x v="2"/>
    <s v="Women's Slippers"/>
    <x v="5"/>
    <x v="7"/>
    <s v="Delhi"/>
    <n v="1"/>
    <n v="299"/>
    <n v="10"/>
    <n v="269"/>
    <n v="269"/>
    <x v="0"/>
    <x v="0"/>
    <n v="55"/>
    <s v="No"/>
    <n v="12.94"/>
    <n v="133.04"/>
    <n v="68.02"/>
    <n v="269"/>
    <n v="30"/>
    <s v="2026-07"/>
  </r>
  <r>
    <s v="MS100654"/>
    <d v="2026-05-07T00:00:00"/>
    <x v="4"/>
    <s v="Leggings"/>
    <x v="3"/>
    <x v="8"/>
    <s v="Telangana"/>
    <n v="1"/>
    <n v="299"/>
    <n v="15"/>
    <n v="254"/>
    <n v="254"/>
    <x v="0"/>
    <x v="1"/>
    <n v="35"/>
    <s v="No"/>
    <n v="19.190000000000001"/>
    <n v="108.25"/>
    <n v="91.56"/>
    <n v="254"/>
    <n v="19"/>
    <s v="2026-05"/>
  </r>
  <r>
    <s v="MS100655"/>
    <d v="2026-02-25T00:00:00"/>
    <x v="8"/>
    <s v="Kitchen Storage Set"/>
    <x v="4"/>
    <x v="7"/>
    <s v="Delhi"/>
    <n v="1"/>
    <n v="499"/>
    <n v="25"/>
    <n v="374"/>
    <n v="374"/>
    <x v="0"/>
    <x v="0"/>
    <n v="65"/>
    <s v="No"/>
    <n v="24.32"/>
    <n v="159.12"/>
    <n v="125.56"/>
    <n v="374"/>
    <n v="9"/>
    <s v="2026-02"/>
  </r>
  <r>
    <s v="MS100656"/>
    <d v="2026-08-02T00:00:00"/>
    <x v="5"/>
    <s v="Printed Saree"/>
    <x v="3"/>
    <x v="9"/>
    <s v="Gujarat"/>
    <n v="1"/>
    <n v="899"/>
    <n v="25"/>
    <n v="674"/>
    <n v="674"/>
    <x v="0"/>
    <x v="1"/>
    <n v="35"/>
    <s v="No"/>
    <n v="35.9"/>
    <n v="331.81"/>
    <n v="271.29000000000002"/>
    <n v="674"/>
    <n v="31"/>
    <s v="2026-08"/>
  </r>
  <r>
    <s v="MS100657"/>
    <d v="2026-01-14T00:00:00"/>
    <x v="3"/>
    <s v="Oxidised Jewellery Set"/>
    <x v="7"/>
    <x v="2"/>
    <s v="Maharashtra"/>
    <n v="1"/>
    <n v="249"/>
    <n v="20"/>
    <n v="199"/>
    <n v="199"/>
    <x v="0"/>
    <x v="0"/>
    <n v="55"/>
    <s v="No"/>
    <n v="9.1199999999999992"/>
    <n v="97.46"/>
    <n v="37.42"/>
    <n v="199"/>
    <n v="3"/>
    <s v="2026-01"/>
  </r>
  <r>
    <s v="MS100658"/>
    <d v="2026-01-28T00:00:00"/>
    <x v="3"/>
    <s v="Printed Saree"/>
    <x v="3"/>
    <x v="6"/>
    <s v="Uttar Pradesh"/>
    <n v="2"/>
    <n v="899"/>
    <n v="25"/>
    <n v="674"/>
    <n v="1348"/>
    <x v="0"/>
    <x v="0"/>
    <n v="35"/>
    <s v="No"/>
    <n v="103.56"/>
    <n v="578.78"/>
    <n v="630.66"/>
    <n v="674"/>
    <n v="5"/>
    <s v="2026-01"/>
  </r>
  <r>
    <s v="MS100659"/>
    <d v="2026-03-19T00:00:00"/>
    <x v="1"/>
    <s v="Men's T-Shirt"/>
    <x v="2"/>
    <x v="4"/>
    <s v="Rajasthan"/>
    <n v="1"/>
    <n v="449"/>
    <n v="35"/>
    <n v="292"/>
    <n v="292"/>
    <x v="3"/>
    <x v="1"/>
    <n v="55"/>
    <s v="No"/>
    <n v="20.64"/>
    <n v="149.69999999999999"/>
    <n v="66.66"/>
    <n v="292"/>
    <n v="12"/>
    <s v="2026-03"/>
  </r>
  <r>
    <s v="MS100660"/>
    <d v="2026-08-04T00:00:00"/>
    <x v="5"/>
    <s v="Printed Saree"/>
    <x v="3"/>
    <x v="6"/>
    <s v="Uttar Pradesh"/>
    <n v="1"/>
    <n v="899"/>
    <n v="35"/>
    <n v="584"/>
    <n v="584"/>
    <x v="3"/>
    <x v="0"/>
    <n v="65"/>
    <s v="No"/>
    <n v="31.55"/>
    <n v="290.41000000000003"/>
    <n v="197.04"/>
    <n v="584"/>
    <n v="32"/>
    <s v="2026-08"/>
  </r>
  <r>
    <s v="MS100661"/>
    <d v="2026-06-03T00:00:00"/>
    <x v="6"/>
    <s v="Men's T-Shirt"/>
    <x v="2"/>
    <x v="4"/>
    <s v="Rajasthan"/>
    <n v="1"/>
    <n v="449"/>
    <n v="5"/>
    <n v="427"/>
    <n v="427"/>
    <x v="3"/>
    <x v="1"/>
    <n v="55"/>
    <s v="No"/>
    <n v="29.16"/>
    <n v="187.47"/>
    <n v="155.37"/>
    <n v="427"/>
    <n v="23"/>
    <s v="2026-06"/>
  </r>
  <r>
    <s v="MS100662"/>
    <d v="2026-01-14T00:00:00"/>
    <x v="3"/>
    <s v="Women's Slippers"/>
    <x v="5"/>
    <x v="8"/>
    <s v="Telangana"/>
    <n v="1"/>
    <n v="299"/>
    <n v="40"/>
    <n v="179"/>
    <n v="179"/>
    <x v="3"/>
    <x v="1"/>
    <n v="65"/>
    <s v="No"/>
    <n v="10.76"/>
    <n v="84.01"/>
    <n v="19.23"/>
    <n v="179"/>
    <n v="3"/>
    <s v="2026-01"/>
  </r>
  <r>
    <s v="MS100663"/>
    <d v="2026-07-06T00:00:00"/>
    <x v="2"/>
    <s v="Women's Slippers"/>
    <x v="5"/>
    <x v="5"/>
    <s v="Maharashtra"/>
    <n v="3"/>
    <n v="299"/>
    <n v="10"/>
    <n v="269"/>
    <n v="807"/>
    <x v="0"/>
    <x v="0"/>
    <n v="65"/>
    <s v="No"/>
    <n v="60.26"/>
    <n v="411.08"/>
    <n v="270.66000000000003"/>
    <n v="269"/>
    <n v="28"/>
    <s v="2026-07"/>
  </r>
  <r>
    <s v="MS100664"/>
    <d v="2026-01-07T00:00:00"/>
    <x v="3"/>
    <s v="Printed Saree"/>
    <x v="3"/>
    <x v="5"/>
    <s v="Maharashtra"/>
    <n v="1"/>
    <n v="899"/>
    <n v="20"/>
    <n v="719"/>
    <n v="719"/>
    <x v="0"/>
    <x v="0"/>
    <n v="35"/>
    <s v="No"/>
    <n v="33.56"/>
    <n v="359.31"/>
    <n v="291.13"/>
    <n v="719"/>
    <n v="2"/>
    <s v="2026-01"/>
  </r>
  <r>
    <s v="MS100665"/>
    <d v="2026-01-03T00:00:00"/>
    <x v="3"/>
    <s v="Women's Slippers"/>
    <x v="5"/>
    <x v="3"/>
    <s v="West Bengal"/>
    <n v="1"/>
    <n v="299"/>
    <n v="10"/>
    <n v="269"/>
    <n v="269"/>
    <x v="0"/>
    <x v="1"/>
    <n v="65"/>
    <s v="No"/>
    <n v="12"/>
    <n v="123.43"/>
    <n v="68.569999999999993"/>
    <n v="269"/>
    <n v="1"/>
    <s v="2026-01"/>
  </r>
  <r>
    <s v="MS100666"/>
    <d v="2026-04-21T00:00:00"/>
    <x v="0"/>
    <s v="Women's Slippers"/>
    <x v="5"/>
    <x v="8"/>
    <s v="Telangana"/>
    <n v="1"/>
    <n v="299"/>
    <n v="40"/>
    <n v="179"/>
    <n v="179"/>
    <x v="4"/>
    <x v="0"/>
    <n v="55"/>
    <s v="No"/>
    <n v="13.26"/>
    <n v="77.98"/>
    <n v="32.76"/>
    <n v="179"/>
    <n v="17"/>
    <s v="2026-04"/>
  </r>
  <r>
    <s v="MS100667"/>
    <d v="2026-08-26T00:00:00"/>
    <x v="5"/>
    <s v="Kids Dress"/>
    <x v="1"/>
    <x v="0"/>
    <s v="Maharashtra"/>
    <n v="1"/>
    <n v="599"/>
    <n v="35"/>
    <n v="389"/>
    <n v="389"/>
    <x v="0"/>
    <x v="0"/>
    <n v="65"/>
    <s v="No"/>
    <n v="25.49"/>
    <n v="177"/>
    <n v="121.51"/>
    <n v="389"/>
    <n v="35"/>
    <s v="2026-08"/>
  </r>
  <r>
    <s v="MS100668"/>
    <d v="2026-08-27T00:00:00"/>
    <x v="5"/>
    <s v="Printed Saree"/>
    <x v="3"/>
    <x v="2"/>
    <s v="Maharashtra"/>
    <n v="2"/>
    <n v="899"/>
    <n v="40"/>
    <n v="539"/>
    <n v="1078"/>
    <x v="3"/>
    <x v="1"/>
    <n v="45"/>
    <s v="No"/>
    <n v="58.84"/>
    <n v="543.71"/>
    <n v="430.45"/>
    <n v="539"/>
    <n v="35"/>
    <s v="2026-08"/>
  </r>
  <r>
    <s v="MS100669"/>
    <d v="2026-08-15T00:00:00"/>
    <x v="5"/>
    <s v="Men's T-Shirt"/>
    <x v="2"/>
    <x v="7"/>
    <s v="Delhi"/>
    <n v="1"/>
    <n v="449"/>
    <n v="10"/>
    <n v="404"/>
    <n v="404"/>
    <x v="0"/>
    <x v="1"/>
    <n v="45"/>
    <s v="No"/>
    <n v="25.35"/>
    <n v="204.74"/>
    <n v="128.91"/>
    <n v="404"/>
    <n v="33"/>
    <s v="2026-08"/>
  </r>
  <r>
    <s v="MS100670"/>
    <d v="2026-01-15T00:00:00"/>
    <x v="3"/>
    <s v="Kitchen Storage Set"/>
    <x v="4"/>
    <x v="5"/>
    <s v="Maharashtra"/>
    <n v="1"/>
    <n v="499"/>
    <n v="10"/>
    <n v="449"/>
    <n v="449"/>
    <x v="0"/>
    <x v="0"/>
    <n v="55"/>
    <s v="No"/>
    <n v="30.85"/>
    <n v="233.15"/>
    <n v="130"/>
    <n v="449"/>
    <n v="3"/>
    <s v="2026-01"/>
  </r>
  <r>
    <s v="MS100671"/>
    <d v="2026-07-11T00:00:00"/>
    <x v="2"/>
    <s v="Handbag"/>
    <x v="6"/>
    <x v="4"/>
    <s v="Rajasthan"/>
    <n v="1"/>
    <n v="549"/>
    <n v="20"/>
    <n v="439"/>
    <n v="439"/>
    <x v="0"/>
    <x v="0"/>
    <n v="65"/>
    <s v="No"/>
    <n v="25.33"/>
    <n v="205.68"/>
    <n v="142.99"/>
    <n v="439"/>
    <n v="28"/>
    <s v="2026-07"/>
  </r>
  <r>
    <s v="MS100672"/>
    <d v="2026-04-29T00:00:00"/>
    <x v="0"/>
    <s v="Leggings"/>
    <x v="3"/>
    <x v="6"/>
    <s v="Uttar Pradesh"/>
    <n v="1"/>
    <n v="299"/>
    <n v="20"/>
    <n v="239"/>
    <n v="239"/>
    <x v="0"/>
    <x v="0"/>
    <n v="65"/>
    <s v="No"/>
    <n v="15.31"/>
    <n v="120.66"/>
    <n v="38.03"/>
    <n v="239"/>
    <n v="18"/>
    <s v="2026-04"/>
  </r>
  <r>
    <s v="MS100673"/>
    <d v="2026-01-28T00:00:00"/>
    <x v="3"/>
    <s v="Bedsheet"/>
    <x v="4"/>
    <x v="9"/>
    <s v="Gujarat"/>
    <n v="1"/>
    <n v="699"/>
    <n v="15"/>
    <n v="594"/>
    <n v="594"/>
    <x v="2"/>
    <x v="1"/>
    <n v="35"/>
    <s v="Yes"/>
    <n v="37.11"/>
    <n v="268.17"/>
    <n v="253.72"/>
    <n v="594"/>
    <n v="5"/>
    <s v="2026-01"/>
  </r>
  <r>
    <s v="MS100674"/>
    <d v="2026-07-21T00:00:00"/>
    <x v="2"/>
    <s v="Leggings"/>
    <x v="3"/>
    <x v="6"/>
    <s v="Uttar Pradesh"/>
    <n v="1"/>
    <n v="299"/>
    <n v="20"/>
    <n v="239"/>
    <n v="239"/>
    <x v="0"/>
    <x v="0"/>
    <n v="55"/>
    <s v="No"/>
    <n v="10.34"/>
    <n v="105"/>
    <n v="68.66"/>
    <n v="239"/>
    <n v="30"/>
    <s v="2026-07"/>
  </r>
  <r>
    <s v="MS100675"/>
    <d v="2026-02-08T00:00:00"/>
    <x v="8"/>
    <s v="Handbag"/>
    <x v="6"/>
    <x v="5"/>
    <s v="Maharashtra"/>
    <n v="1"/>
    <n v="549"/>
    <n v="5"/>
    <n v="522"/>
    <n v="522"/>
    <x v="3"/>
    <x v="1"/>
    <n v="45"/>
    <s v="No"/>
    <n v="26.46"/>
    <n v="241.24"/>
    <n v="209.3"/>
    <n v="522"/>
    <n v="6"/>
    <s v="2026-02"/>
  </r>
  <r>
    <s v="MS100676"/>
    <d v="2026-08-19T00:00:00"/>
    <x v="5"/>
    <s v="Men's T-Shirt"/>
    <x v="2"/>
    <x v="6"/>
    <s v="Uttar Pradesh"/>
    <n v="1"/>
    <n v="449"/>
    <n v="30"/>
    <n v="314"/>
    <n v="314"/>
    <x v="4"/>
    <x v="0"/>
    <n v="65"/>
    <s v="No"/>
    <n v="15.67"/>
    <n v="152.13999999999999"/>
    <n v="81.19"/>
    <n v="314"/>
    <n v="34"/>
    <s v="2026-08"/>
  </r>
  <r>
    <s v="MS100677"/>
    <d v="2026-03-27T00:00:00"/>
    <x v="1"/>
    <s v="Kids Dress"/>
    <x v="1"/>
    <x v="4"/>
    <s v="Rajasthan"/>
    <n v="1"/>
    <n v="599"/>
    <n v="10"/>
    <n v="539"/>
    <n v="539"/>
    <x v="0"/>
    <x v="0"/>
    <n v="55"/>
    <s v="No"/>
    <n v="36.61"/>
    <n v="240.84"/>
    <n v="206.55"/>
    <n v="539"/>
    <n v="13"/>
    <s v="2026-03"/>
  </r>
  <r>
    <s v="MS100678"/>
    <d v="2026-05-06T00:00:00"/>
    <x v="4"/>
    <s v="Oxidised Jewellery Set"/>
    <x v="7"/>
    <x v="4"/>
    <s v="Rajasthan"/>
    <n v="1"/>
    <n v="249"/>
    <n v="25"/>
    <n v="187"/>
    <n v="187"/>
    <x v="2"/>
    <x v="0"/>
    <n v="65"/>
    <s v="Yes"/>
    <n v="10.83"/>
    <n v="96.4"/>
    <n v="14.77"/>
    <n v="187"/>
    <n v="19"/>
    <s v="2026-05"/>
  </r>
  <r>
    <s v="MS100679"/>
    <d v="2026-01-25T00:00:00"/>
    <x v="3"/>
    <s v="Oxidised Jewellery Set"/>
    <x v="7"/>
    <x v="4"/>
    <s v="Rajasthan"/>
    <n v="1"/>
    <n v="249"/>
    <n v="20"/>
    <n v="199"/>
    <n v="199"/>
    <x v="0"/>
    <x v="0"/>
    <n v="35"/>
    <s v="No"/>
    <n v="12.97"/>
    <n v="88.69"/>
    <n v="62.34"/>
    <n v="199"/>
    <n v="4"/>
    <s v="2026-01"/>
  </r>
  <r>
    <s v="MS100680"/>
    <d v="2026-05-25T00:00:00"/>
    <x v="4"/>
    <s v="Men's T-Shirt"/>
    <x v="2"/>
    <x v="2"/>
    <s v="Maharashtra"/>
    <n v="2"/>
    <n v="449"/>
    <n v="25"/>
    <n v="337"/>
    <n v="674"/>
    <x v="0"/>
    <x v="1"/>
    <n v="65"/>
    <s v="No"/>
    <n v="43.31"/>
    <n v="328.74"/>
    <n v="236.95"/>
    <n v="337"/>
    <n v="22"/>
    <s v="2026-05"/>
  </r>
  <r>
    <s v="MS100681"/>
    <d v="2026-01-13T00:00:00"/>
    <x v="3"/>
    <s v="Oxidised Jewellery Set"/>
    <x v="7"/>
    <x v="8"/>
    <s v="Telangana"/>
    <n v="1"/>
    <n v="249"/>
    <n v="40"/>
    <n v="149"/>
    <n v="149"/>
    <x v="0"/>
    <x v="1"/>
    <n v="45"/>
    <s v="No"/>
    <n v="9.5399999999999991"/>
    <n v="70.48"/>
    <n v="23.98"/>
    <n v="149"/>
    <n v="3"/>
    <s v="2026-01"/>
  </r>
  <r>
    <s v="MS100682"/>
    <d v="2026-07-31T00:00:00"/>
    <x v="2"/>
    <s v="Handbag"/>
    <x v="6"/>
    <x v="4"/>
    <s v="Rajasthan"/>
    <n v="1"/>
    <n v="549"/>
    <n v="20"/>
    <n v="439"/>
    <n v="439"/>
    <x v="2"/>
    <x v="1"/>
    <n v="55"/>
    <s v="Yes"/>
    <n v="22.47"/>
    <n v="209.18"/>
    <n v="152.35"/>
    <n v="439"/>
    <n v="31"/>
    <s v="2026-07"/>
  </r>
  <r>
    <s v="MS100683"/>
    <d v="2026-01-25T00:00:00"/>
    <x v="3"/>
    <s v="Women Kurti Set"/>
    <x v="3"/>
    <x v="1"/>
    <s v="Karnataka"/>
    <n v="2"/>
    <n v="699"/>
    <n v="25"/>
    <n v="524"/>
    <n v="1048"/>
    <x v="2"/>
    <x v="1"/>
    <n v="65"/>
    <s v="Yes"/>
    <n v="65.459999999999994"/>
    <n v="529.14"/>
    <n v="388.4"/>
    <n v="524"/>
    <n v="4"/>
    <s v="2026-01"/>
  </r>
  <r>
    <s v="MS100684"/>
    <d v="2026-03-09T00:00:00"/>
    <x v="1"/>
    <s v="Women's Slippers"/>
    <x v="5"/>
    <x v="5"/>
    <s v="Maharashtra"/>
    <n v="1"/>
    <n v="299"/>
    <n v="20"/>
    <n v="239"/>
    <n v="239"/>
    <x v="3"/>
    <x v="0"/>
    <n v="45"/>
    <s v="No"/>
    <n v="17.91"/>
    <n v="101.81"/>
    <n v="74.28"/>
    <n v="239"/>
    <n v="11"/>
    <s v="2026-03"/>
  </r>
  <r>
    <s v="MS100685"/>
    <d v="2026-03-08T00:00:00"/>
    <x v="1"/>
    <s v="Men's T-Shirt"/>
    <x v="2"/>
    <x v="6"/>
    <s v="Uttar Pradesh"/>
    <n v="1"/>
    <n v="449"/>
    <n v="20"/>
    <n v="359"/>
    <n v="359"/>
    <x v="2"/>
    <x v="1"/>
    <n v="45"/>
    <s v="Yes"/>
    <n v="17.350000000000001"/>
    <n v="158.15"/>
    <n v="138.5"/>
    <n v="359"/>
    <n v="10"/>
    <s v="2026-03"/>
  </r>
  <r>
    <s v="MS100686"/>
    <d v="2026-08-21T00:00:00"/>
    <x v="5"/>
    <s v="Kitchen Storage Set"/>
    <x v="4"/>
    <x v="4"/>
    <s v="Rajasthan"/>
    <n v="1"/>
    <n v="499"/>
    <n v="20"/>
    <n v="399"/>
    <n v="399"/>
    <x v="4"/>
    <x v="0"/>
    <n v="45"/>
    <s v="No"/>
    <n v="28.69"/>
    <n v="178.33"/>
    <n v="146.97999999999999"/>
    <n v="399"/>
    <n v="34"/>
    <s v="2026-08"/>
  </r>
  <r>
    <s v="MS100687"/>
    <d v="2026-04-19T00:00:00"/>
    <x v="0"/>
    <s v="Bedsheet"/>
    <x v="4"/>
    <x v="7"/>
    <s v="Delhi"/>
    <n v="1"/>
    <n v="699"/>
    <n v="25"/>
    <n v="524"/>
    <n v="524"/>
    <x v="0"/>
    <x v="1"/>
    <n v="35"/>
    <s v="No"/>
    <n v="40.82"/>
    <n v="260.26"/>
    <n v="187.92"/>
    <n v="524"/>
    <n v="16"/>
    <s v="2026-04"/>
  </r>
  <r>
    <s v="MS100688"/>
    <d v="2026-05-26T00:00:00"/>
    <x v="4"/>
    <s v="Makeup Organizer"/>
    <x v="0"/>
    <x v="1"/>
    <s v="Karnataka"/>
    <n v="1"/>
    <n v="349"/>
    <n v="40"/>
    <n v="209"/>
    <n v="209"/>
    <x v="4"/>
    <x v="0"/>
    <n v="65"/>
    <s v="No"/>
    <n v="8.99"/>
    <n v="100.69"/>
    <n v="34.32"/>
    <n v="209"/>
    <n v="22"/>
    <s v="2026-05"/>
  </r>
  <r>
    <s v="MS100689"/>
    <d v="2026-04-21T00:00:00"/>
    <x v="0"/>
    <s v="Oxidised Jewellery Set"/>
    <x v="7"/>
    <x v="3"/>
    <s v="West Bengal"/>
    <n v="3"/>
    <n v="249"/>
    <n v="35"/>
    <n v="162"/>
    <n v="486"/>
    <x v="3"/>
    <x v="1"/>
    <n v="45"/>
    <s v="No"/>
    <n v="19.850000000000001"/>
    <n v="239.25"/>
    <n v="181.9"/>
    <n v="162"/>
    <n v="17"/>
    <s v="2026-04"/>
  </r>
  <r>
    <s v="MS100690"/>
    <d v="2026-08-16T00:00:00"/>
    <x v="5"/>
    <s v="Oxidised Jewellery Set"/>
    <x v="7"/>
    <x v="8"/>
    <s v="Telangana"/>
    <n v="1"/>
    <n v="249"/>
    <n v="40"/>
    <n v="149"/>
    <n v="149"/>
    <x v="0"/>
    <x v="1"/>
    <n v="55"/>
    <s v="No"/>
    <n v="7.68"/>
    <n v="71.58"/>
    <n v="14.74"/>
    <n v="149"/>
    <n v="33"/>
    <s v="2026-08"/>
  </r>
  <r>
    <s v="MS100691"/>
    <d v="2026-04-21T00:00:00"/>
    <x v="0"/>
    <s v="Makeup Organizer"/>
    <x v="0"/>
    <x v="2"/>
    <s v="Maharashtra"/>
    <n v="1"/>
    <n v="349"/>
    <n v="20"/>
    <n v="279"/>
    <n v="279"/>
    <x v="0"/>
    <x v="1"/>
    <n v="45"/>
    <s v="No"/>
    <n v="18.03"/>
    <n v="128.5"/>
    <n v="87.47"/>
    <n v="279"/>
    <n v="17"/>
    <s v="2026-04"/>
  </r>
  <r>
    <s v="MS100692"/>
    <d v="2026-02-03T00:00:00"/>
    <x v="8"/>
    <s v="Printed Saree"/>
    <x v="3"/>
    <x v="2"/>
    <s v="Maharashtra"/>
    <n v="1"/>
    <n v="899"/>
    <n v="25"/>
    <n v="674"/>
    <n v="674"/>
    <x v="2"/>
    <x v="0"/>
    <n v="45"/>
    <s v="Yes"/>
    <n v="40.08"/>
    <n v="330.42"/>
    <n v="258.5"/>
    <n v="674"/>
    <n v="6"/>
    <s v="2026-02"/>
  </r>
  <r>
    <s v="MS100693"/>
    <d v="2026-04-21T00:00:00"/>
    <x v="0"/>
    <s v="Kids Dress"/>
    <x v="1"/>
    <x v="2"/>
    <s v="Maharashtra"/>
    <n v="2"/>
    <n v="599"/>
    <n v="25"/>
    <n v="449"/>
    <n v="898"/>
    <x v="1"/>
    <x v="0"/>
    <n v="45"/>
    <s v="No"/>
    <n v="64.53"/>
    <n v="426.29"/>
    <n v="362.18"/>
    <n v="449"/>
    <n v="17"/>
    <s v="2026-04"/>
  </r>
  <r>
    <s v="MS100694"/>
    <d v="2026-09-21T00:00:00"/>
    <x v="7"/>
    <s v="Bedsheet"/>
    <x v="4"/>
    <x v="8"/>
    <s v="Telangana"/>
    <n v="1"/>
    <n v="699"/>
    <n v="20"/>
    <n v="559"/>
    <n v="559"/>
    <x v="3"/>
    <x v="0"/>
    <n v="65"/>
    <s v="No"/>
    <n v="35.61"/>
    <n v="261.75"/>
    <n v="196.64"/>
    <n v="559"/>
    <n v="39"/>
    <s v="2026-09"/>
  </r>
  <r>
    <s v="MS100695"/>
    <d v="2026-08-24T00:00:00"/>
    <x v="5"/>
    <s v="Handbag"/>
    <x v="6"/>
    <x v="9"/>
    <s v="Gujarat"/>
    <n v="1"/>
    <n v="549"/>
    <n v="15"/>
    <n v="467"/>
    <n v="467"/>
    <x v="0"/>
    <x v="0"/>
    <n v="55"/>
    <s v="No"/>
    <n v="26.61"/>
    <n v="229.52"/>
    <n v="155.87"/>
    <n v="467"/>
    <n v="35"/>
    <s v="2026-08"/>
  </r>
  <r>
    <s v="MS100696"/>
    <d v="2026-03-24T00:00:00"/>
    <x v="1"/>
    <s v="Makeup Organizer"/>
    <x v="0"/>
    <x v="4"/>
    <s v="Rajasthan"/>
    <n v="1"/>
    <n v="349"/>
    <n v="15"/>
    <n v="297"/>
    <n v="297"/>
    <x v="2"/>
    <x v="1"/>
    <n v="35"/>
    <s v="Yes"/>
    <n v="22.47"/>
    <n v="136.96"/>
    <n v="102.57"/>
    <n v="297"/>
    <n v="13"/>
    <s v="2026-03"/>
  </r>
  <r>
    <s v="MS100697"/>
    <d v="2026-02-11T00:00:00"/>
    <x v="8"/>
    <s v="Makeup Organizer"/>
    <x v="0"/>
    <x v="2"/>
    <s v="Maharashtra"/>
    <n v="3"/>
    <n v="349"/>
    <n v="25"/>
    <n v="262"/>
    <n v="786"/>
    <x v="2"/>
    <x v="0"/>
    <n v="65"/>
    <s v="Yes"/>
    <n v="31.75"/>
    <n v="336.78"/>
    <n v="352.47"/>
    <n v="262"/>
    <n v="7"/>
    <s v="2026-02"/>
  </r>
  <r>
    <s v="MS100698"/>
    <d v="2026-04-11T00:00:00"/>
    <x v="0"/>
    <s v="Bedsheet"/>
    <x v="4"/>
    <x v="3"/>
    <s v="West Bengal"/>
    <n v="1"/>
    <n v="699"/>
    <n v="15"/>
    <n v="594"/>
    <n v="594"/>
    <x v="2"/>
    <x v="0"/>
    <n v="65"/>
    <s v="Yes"/>
    <n v="42.36"/>
    <n v="299.7"/>
    <n v="186.94"/>
    <n v="594"/>
    <n v="15"/>
    <s v="2026-04"/>
  </r>
  <r>
    <s v="MS100699"/>
    <d v="2026-01-06T00:00:00"/>
    <x v="3"/>
    <s v="Printed Saree"/>
    <x v="3"/>
    <x v="4"/>
    <s v="Rajasthan"/>
    <n v="3"/>
    <n v="899"/>
    <n v="10"/>
    <n v="809"/>
    <n v="2427"/>
    <x v="0"/>
    <x v="0"/>
    <n v="55"/>
    <s v="No"/>
    <n v="142.87"/>
    <n v="1252.28"/>
    <n v="976.85"/>
    <n v="809"/>
    <n v="2"/>
    <s v="2026-01"/>
  </r>
  <r>
    <s v="MS100700"/>
    <d v="2026-06-29T00:00:00"/>
    <x v="6"/>
    <s v="Women's Top"/>
    <x v="3"/>
    <x v="2"/>
    <s v="Maharashtra"/>
    <n v="1"/>
    <n v="399"/>
    <n v="30"/>
    <n v="279"/>
    <n v="279"/>
    <x v="0"/>
    <x v="0"/>
    <n v="65"/>
    <s v="No"/>
    <n v="20.55"/>
    <n v="132.65"/>
    <n v="60.8"/>
    <n v="279"/>
    <n v="27"/>
    <s v="2026-06"/>
  </r>
  <r>
    <s v="MS100701"/>
    <d v="2026-08-14T00:00:00"/>
    <x v="5"/>
    <s v="Men's T-Shirt"/>
    <x v="2"/>
    <x v="9"/>
    <s v="Gujarat"/>
    <n v="1"/>
    <n v="449"/>
    <n v="10"/>
    <n v="404"/>
    <n v="404"/>
    <x v="0"/>
    <x v="0"/>
    <n v="45"/>
    <s v="No"/>
    <n v="24.23"/>
    <n v="172.16"/>
    <n v="162.61000000000001"/>
    <n v="404"/>
    <n v="33"/>
    <s v="2026-08"/>
  </r>
  <r>
    <s v="MS100702"/>
    <d v="2026-08-17T00:00:00"/>
    <x v="5"/>
    <s v="Bedsheet"/>
    <x v="4"/>
    <x v="5"/>
    <s v="Maharashtra"/>
    <n v="3"/>
    <n v="699"/>
    <n v="20"/>
    <n v="559"/>
    <n v="1677"/>
    <x v="0"/>
    <x v="1"/>
    <n v="45"/>
    <s v="No"/>
    <n v="100.27"/>
    <n v="718.78"/>
    <n v="812.95"/>
    <n v="559"/>
    <n v="34"/>
    <s v="2026-08"/>
  </r>
  <r>
    <s v="MS100703"/>
    <d v="2026-05-30T00:00:00"/>
    <x v="4"/>
    <s v="Handbag"/>
    <x v="6"/>
    <x v="9"/>
    <s v="Gujarat"/>
    <n v="1"/>
    <n v="549"/>
    <n v="20"/>
    <n v="439"/>
    <n v="439"/>
    <x v="0"/>
    <x v="1"/>
    <n v="35"/>
    <s v="No"/>
    <n v="26.05"/>
    <n v="197.31"/>
    <n v="180.64"/>
    <n v="439"/>
    <n v="22"/>
    <s v="2026-05"/>
  </r>
  <r>
    <s v="MS100704"/>
    <d v="2026-07-17T00:00:00"/>
    <x v="2"/>
    <s v="Kitchen Storage Set"/>
    <x v="4"/>
    <x v="2"/>
    <s v="Maharashtra"/>
    <n v="1"/>
    <n v="499"/>
    <n v="30"/>
    <n v="349"/>
    <n v="349"/>
    <x v="2"/>
    <x v="1"/>
    <n v="35"/>
    <s v="Yes"/>
    <n v="22.25"/>
    <n v="167.79"/>
    <n v="123.96"/>
    <n v="349"/>
    <n v="29"/>
    <s v="2026-07"/>
  </r>
  <r>
    <s v="MS100705"/>
    <d v="2026-03-11T00:00:00"/>
    <x v="1"/>
    <s v="Leggings"/>
    <x v="3"/>
    <x v="8"/>
    <s v="Telangana"/>
    <n v="1"/>
    <n v="299"/>
    <n v="30"/>
    <n v="209"/>
    <n v="209"/>
    <x v="0"/>
    <x v="1"/>
    <n v="45"/>
    <s v="No"/>
    <n v="11.59"/>
    <n v="96.56"/>
    <n v="55.85"/>
    <n v="209"/>
    <n v="11"/>
    <s v="2026-03"/>
  </r>
  <r>
    <s v="MS100706"/>
    <d v="2026-04-22T00:00:00"/>
    <x v="0"/>
    <s v="Bedsheet"/>
    <x v="4"/>
    <x v="2"/>
    <s v="Maharashtra"/>
    <n v="1"/>
    <n v="699"/>
    <n v="35"/>
    <n v="454"/>
    <n v="454"/>
    <x v="0"/>
    <x v="1"/>
    <n v="65"/>
    <s v="No"/>
    <n v="33.15"/>
    <n v="193.4"/>
    <n v="162.44999999999999"/>
    <n v="454"/>
    <n v="17"/>
    <s v="2026-04"/>
  </r>
  <r>
    <s v="MS100707"/>
    <d v="2026-01-04T00:00:00"/>
    <x v="3"/>
    <s v="Men's T-Shirt"/>
    <x v="2"/>
    <x v="6"/>
    <s v="Uttar Pradesh"/>
    <n v="1"/>
    <n v="449"/>
    <n v="25"/>
    <n v="337"/>
    <n v="337"/>
    <x v="4"/>
    <x v="1"/>
    <n v="45"/>
    <s v="No"/>
    <n v="14.65"/>
    <n v="164.09"/>
    <n v="113.26"/>
    <n v="337"/>
    <n v="1"/>
    <s v="2026-01"/>
  </r>
  <r>
    <s v="MS100708"/>
    <d v="2026-04-05T00:00:00"/>
    <x v="0"/>
    <s v="Kids Dress"/>
    <x v="1"/>
    <x v="2"/>
    <s v="Maharashtra"/>
    <n v="1"/>
    <n v="599"/>
    <n v="15"/>
    <n v="509"/>
    <n v="509"/>
    <x v="0"/>
    <x v="0"/>
    <n v="45"/>
    <s v="No"/>
    <n v="26.5"/>
    <n v="233.33"/>
    <n v="204.17"/>
    <n v="509"/>
    <n v="14"/>
    <s v="2026-04"/>
  </r>
  <r>
    <s v="MS100709"/>
    <d v="2026-06-01T00:00:00"/>
    <x v="6"/>
    <s v="Handbag"/>
    <x v="6"/>
    <x v="2"/>
    <s v="Maharashtra"/>
    <n v="1"/>
    <n v="549"/>
    <n v="20"/>
    <n v="439"/>
    <n v="439"/>
    <x v="2"/>
    <x v="1"/>
    <n v="65"/>
    <s v="Yes"/>
    <n v="31.73"/>
    <n v="207.35"/>
    <n v="134.91999999999999"/>
    <n v="439"/>
    <n v="23"/>
    <s v="2026-06"/>
  </r>
  <r>
    <s v="MS100710"/>
    <d v="2026-05-17T00:00:00"/>
    <x v="4"/>
    <s v="Kids Dress"/>
    <x v="1"/>
    <x v="9"/>
    <s v="Gujarat"/>
    <n v="2"/>
    <n v="599"/>
    <n v="30"/>
    <n v="419"/>
    <n v="838"/>
    <x v="0"/>
    <x v="1"/>
    <n v="55"/>
    <s v="No"/>
    <n v="59.13"/>
    <n v="372.73"/>
    <n v="351.14"/>
    <n v="419"/>
    <n v="20"/>
    <s v="2026-05"/>
  </r>
  <r>
    <s v="MS100711"/>
    <d v="2026-09-04T00:00:00"/>
    <x v="7"/>
    <s v="Leggings"/>
    <x v="3"/>
    <x v="0"/>
    <s v="Maharashtra"/>
    <n v="1"/>
    <n v="299"/>
    <n v="15"/>
    <n v="254"/>
    <n v="254"/>
    <x v="0"/>
    <x v="1"/>
    <n v="45"/>
    <s v="No"/>
    <n v="12.2"/>
    <n v="114.44"/>
    <n v="82.36"/>
    <n v="254"/>
    <n v="36"/>
    <s v="2026-09"/>
  </r>
  <r>
    <s v="MS100712"/>
    <d v="2026-08-31T00:00:00"/>
    <x v="5"/>
    <s v="Leggings"/>
    <x v="3"/>
    <x v="9"/>
    <s v="Gujarat"/>
    <n v="2"/>
    <n v="299"/>
    <n v="30"/>
    <n v="209"/>
    <n v="418"/>
    <x v="2"/>
    <x v="1"/>
    <n v="45"/>
    <s v="Yes"/>
    <n v="30.23"/>
    <n v="204.52"/>
    <n v="138.25"/>
    <n v="209"/>
    <n v="36"/>
    <s v="2026-08"/>
  </r>
  <r>
    <s v="MS100713"/>
    <d v="2026-01-31T00:00:00"/>
    <x v="3"/>
    <s v="Oxidised Jewellery Set"/>
    <x v="7"/>
    <x v="4"/>
    <s v="Rajasthan"/>
    <n v="1"/>
    <n v="249"/>
    <n v="10"/>
    <n v="224"/>
    <n v="224"/>
    <x v="3"/>
    <x v="1"/>
    <n v="45"/>
    <s v="No"/>
    <n v="17.45"/>
    <n v="95.63"/>
    <n v="65.92"/>
    <n v="224"/>
    <n v="5"/>
    <s v="2026-01"/>
  </r>
  <r>
    <s v="MS100714"/>
    <d v="2026-02-09T00:00:00"/>
    <x v="8"/>
    <s v="Oxidised Jewellery Set"/>
    <x v="7"/>
    <x v="3"/>
    <s v="West Bengal"/>
    <n v="1"/>
    <n v="249"/>
    <n v="25"/>
    <n v="187"/>
    <n v="187"/>
    <x v="0"/>
    <x v="1"/>
    <n v="55"/>
    <s v="No"/>
    <n v="11.18"/>
    <n v="95.27"/>
    <n v="25.55"/>
    <n v="187"/>
    <n v="7"/>
    <s v="2026-02"/>
  </r>
  <r>
    <s v="MS100715"/>
    <d v="2026-08-17T00:00:00"/>
    <x v="5"/>
    <s v="Bedsheet"/>
    <x v="4"/>
    <x v="5"/>
    <s v="Maharashtra"/>
    <n v="1"/>
    <n v="699"/>
    <n v="35"/>
    <n v="454"/>
    <n v="454"/>
    <x v="0"/>
    <x v="1"/>
    <n v="55"/>
    <s v="No"/>
    <n v="33.869999999999997"/>
    <n v="205.24"/>
    <n v="159.88999999999999"/>
    <n v="454"/>
    <n v="34"/>
    <s v="2026-08"/>
  </r>
  <r>
    <s v="MS100716"/>
    <d v="2026-02-05T00:00:00"/>
    <x v="8"/>
    <s v="Men's T-Shirt"/>
    <x v="2"/>
    <x v="1"/>
    <s v="Karnataka"/>
    <n v="1"/>
    <n v="449"/>
    <n v="15"/>
    <n v="382"/>
    <n v="382"/>
    <x v="0"/>
    <x v="1"/>
    <n v="45"/>
    <s v="No"/>
    <n v="26.43"/>
    <n v="181.82"/>
    <n v="128.75"/>
    <n v="382"/>
    <n v="6"/>
    <s v="2026-02"/>
  </r>
  <r>
    <s v="MS100717"/>
    <d v="2026-08-11T00:00:00"/>
    <x v="5"/>
    <s v="Handbag"/>
    <x v="6"/>
    <x v="0"/>
    <s v="Maharashtra"/>
    <n v="1"/>
    <n v="549"/>
    <n v="30"/>
    <n v="384"/>
    <n v="384"/>
    <x v="0"/>
    <x v="1"/>
    <n v="65"/>
    <s v="No"/>
    <n v="20.46"/>
    <n v="189.87"/>
    <n v="108.67"/>
    <n v="384"/>
    <n v="33"/>
    <s v="2026-08"/>
  </r>
  <r>
    <s v="MS100718"/>
    <d v="2026-01-06T00:00:00"/>
    <x v="3"/>
    <s v="Women Kurti Set"/>
    <x v="3"/>
    <x v="6"/>
    <s v="Uttar Pradesh"/>
    <n v="2"/>
    <n v="699"/>
    <n v="15"/>
    <n v="594"/>
    <n v="1188"/>
    <x v="0"/>
    <x v="1"/>
    <n v="55"/>
    <s v="No"/>
    <n v="74.67"/>
    <n v="571.13"/>
    <n v="487.2"/>
    <n v="594"/>
    <n v="2"/>
    <s v="2026-01"/>
  </r>
  <r>
    <s v="MS100719"/>
    <d v="2026-08-08T00:00:00"/>
    <x v="5"/>
    <s v="Leggings"/>
    <x v="3"/>
    <x v="5"/>
    <s v="Maharashtra"/>
    <n v="1"/>
    <n v="299"/>
    <n v="15"/>
    <n v="254"/>
    <n v="254"/>
    <x v="4"/>
    <x v="0"/>
    <n v="55"/>
    <s v="No"/>
    <n v="18.940000000000001"/>
    <n v="114.54"/>
    <n v="65.52"/>
    <n v="254"/>
    <n v="32"/>
    <s v="2026-08"/>
  </r>
  <r>
    <s v="MS100720"/>
    <d v="2026-03-16T00:00:00"/>
    <x v="1"/>
    <s v="Makeup Organizer"/>
    <x v="0"/>
    <x v="9"/>
    <s v="Gujarat"/>
    <n v="1"/>
    <n v="349"/>
    <n v="20"/>
    <n v="279"/>
    <n v="279"/>
    <x v="0"/>
    <x v="1"/>
    <n v="65"/>
    <s v="No"/>
    <n v="20.079999999999998"/>
    <n v="139.58000000000001"/>
    <n v="54.34"/>
    <n v="279"/>
    <n v="12"/>
    <s v="2026-03"/>
  </r>
  <r>
    <s v="MS100721"/>
    <d v="2026-01-04T00:00:00"/>
    <x v="3"/>
    <s v="Makeup Organizer"/>
    <x v="0"/>
    <x v="5"/>
    <s v="Maharashtra"/>
    <n v="2"/>
    <n v="349"/>
    <n v="25"/>
    <n v="262"/>
    <n v="524"/>
    <x v="0"/>
    <x v="1"/>
    <n v="45"/>
    <s v="No"/>
    <n v="28.98"/>
    <n v="236.04"/>
    <n v="213.98"/>
    <n v="262"/>
    <n v="1"/>
    <s v="2026-01"/>
  </r>
  <r>
    <s v="MS100722"/>
    <d v="2026-05-14T00:00:00"/>
    <x v="4"/>
    <s v="Oxidised Jewellery Set"/>
    <x v="7"/>
    <x v="1"/>
    <s v="Karnataka"/>
    <n v="1"/>
    <n v="249"/>
    <n v="20"/>
    <n v="199"/>
    <n v="199"/>
    <x v="1"/>
    <x v="0"/>
    <n v="35"/>
    <s v="No"/>
    <n v="15.36"/>
    <n v="94.43"/>
    <n v="54.21"/>
    <n v="199"/>
    <n v="20"/>
    <s v="2026-05"/>
  </r>
  <r>
    <s v="MS100723"/>
    <d v="2026-04-28T00:00:00"/>
    <x v="0"/>
    <s v="Men's T-Shirt"/>
    <x v="2"/>
    <x v="1"/>
    <s v="Karnataka"/>
    <n v="1"/>
    <n v="449"/>
    <n v="20"/>
    <n v="359"/>
    <n v="359"/>
    <x v="0"/>
    <x v="1"/>
    <n v="45"/>
    <s v="No"/>
    <n v="26.67"/>
    <n v="165.68"/>
    <n v="121.65"/>
    <n v="359"/>
    <n v="18"/>
    <s v="2026-04"/>
  </r>
  <r>
    <s v="MS100724"/>
    <d v="2026-04-04T00:00:00"/>
    <x v="0"/>
    <s v="Oxidised Jewellery Set"/>
    <x v="7"/>
    <x v="8"/>
    <s v="Telangana"/>
    <n v="1"/>
    <n v="249"/>
    <n v="35"/>
    <n v="162"/>
    <n v="162"/>
    <x v="4"/>
    <x v="1"/>
    <n v="45"/>
    <s v="No"/>
    <n v="9.25"/>
    <n v="77.7"/>
    <n v="30.05"/>
    <n v="162"/>
    <n v="14"/>
    <s v="2026-04"/>
  </r>
  <r>
    <s v="MS100725"/>
    <d v="2026-03-03T00:00:00"/>
    <x v="1"/>
    <s v="Men's T-Shirt"/>
    <x v="2"/>
    <x v="2"/>
    <s v="Maharashtra"/>
    <n v="2"/>
    <n v="449"/>
    <n v="20"/>
    <n v="359"/>
    <n v="718"/>
    <x v="0"/>
    <x v="1"/>
    <n v="55"/>
    <s v="No"/>
    <n v="55.53"/>
    <n v="326.3"/>
    <n v="281.17"/>
    <n v="359"/>
    <n v="10"/>
    <s v="2026-03"/>
  </r>
  <r>
    <s v="MS100726"/>
    <d v="2026-07-13T00:00:00"/>
    <x v="2"/>
    <s v="Bedsheet"/>
    <x v="4"/>
    <x v="3"/>
    <s v="West Bengal"/>
    <n v="1"/>
    <n v="699"/>
    <n v="35"/>
    <n v="454"/>
    <n v="454"/>
    <x v="0"/>
    <x v="1"/>
    <n v="65"/>
    <s v="No"/>
    <n v="21.27"/>
    <n v="195.82"/>
    <n v="171.91"/>
    <n v="454"/>
    <n v="29"/>
    <s v="2026-07"/>
  </r>
  <r>
    <s v="MS100727"/>
    <d v="2026-07-22T00:00:00"/>
    <x v="2"/>
    <s v="Kitchen Storage Set"/>
    <x v="4"/>
    <x v="4"/>
    <s v="Rajasthan"/>
    <n v="1"/>
    <n v="499"/>
    <n v="40"/>
    <n v="299"/>
    <n v="299"/>
    <x v="3"/>
    <x v="0"/>
    <n v="65"/>
    <s v="No"/>
    <n v="20.9"/>
    <n v="155.47"/>
    <n v="57.63"/>
    <n v="299"/>
    <n v="30"/>
    <s v="2026-07"/>
  </r>
  <r>
    <s v="MS100728"/>
    <d v="2026-01-26T00:00:00"/>
    <x v="3"/>
    <s v="Makeup Organizer"/>
    <x v="0"/>
    <x v="9"/>
    <s v="Gujarat"/>
    <n v="1"/>
    <n v="349"/>
    <n v="25"/>
    <n v="262"/>
    <n v="262"/>
    <x v="0"/>
    <x v="1"/>
    <n v="65"/>
    <s v="No"/>
    <n v="15.19"/>
    <n v="131.97"/>
    <n v="49.84"/>
    <n v="262"/>
    <n v="5"/>
    <s v="2026-01"/>
  </r>
  <r>
    <s v="MS100729"/>
    <d v="2026-06-22T00:00:00"/>
    <x v="6"/>
    <s v="Kitchen Storage Set"/>
    <x v="4"/>
    <x v="2"/>
    <s v="Maharashtra"/>
    <n v="1"/>
    <n v="499"/>
    <n v="25"/>
    <n v="374"/>
    <n v="374"/>
    <x v="0"/>
    <x v="0"/>
    <n v="45"/>
    <s v="No"/>
    <n v="26.82"/>
    <n v="190.96"/>
    <n v="111.22"/>
    <n v="374"/>
    <n v="26"/>
    <s v="2026-06"/>
  </r>
  <r>
    <s v="MS100730"/>
    <d v="2026-05-13T00:00:00"/>
    <x v="4"/>
    <s v="Bedsheet"/>
    <x v="4"/>
    <x v="8"/>
    <s v="Telangana"/>
    <n v="2"/>
    <n v="699"/>
    <n v="15"/>
    <n v="594"/>
    <n v="1188"/>
    <x v="0"/>
    <x v="0"/>
    <n v="65"/>
    <s v="No"/>
    <n v="85.85"/>
    <n v="504.88"/>
    <n v="532.27"/>
    <n v="594"/>
    <n v="20"/>
    <s v="2026-05"/>
  </r>
  <r>
    <s v="MS100731"/>
    <d v="2026-04-28T00:00:00"/>
    <x v="0"/>
    <s v="Handbag"/>
    <x v="6"/>
    <x v="6"/>
    <s v="Uttar Pradesh"/>
    <n v="1"/>
    <n v="549"/>
    <n v="5"/>
    <n v="522"/>
    <n v="522"/>
    <x v="0"/>
    <x v="1"/>
    <n v="45"/>
    <s v="No"/>
    <n v="22.02"/>
    <n v="237.77"/>
    <n v="217.21"/>
    <n v="522"/>
    <n v="18"/>
    <s v="2026-04"/>
  </r>
  <r>
    <s v="MS100732"/>
    <d v="2026-07-31T00:00:00"/>
    <x v="2"/>
    <s v="Women Kurti Set"/>
    <x v="3"/>
    <x v="1"/>
    <s v="Karnataka"/>
    <n v="1"/>
    <n v="699"/>
    <n v="20"/>
    <n v="559"/>
    <n v="559"/>
    <x v="3"/>
    <x v="1"/>
    <n v="45"/>
    <s v="No"/>
    <n v="40.36"/>
    <n v="282.33"/>
    <n v="191.31"/>
    <n v="559"/>
    <n v="31"/>
    <s v="2026-07"/>
  </r>
  <r>
    <s v="MS100733"/>
    <d v="2026-08-13T00:00:00"/>
    <x v="5"/>
    <s v="Makeup Organizer"/>
    <x v="0"/>
    <x v="9"/>
    <s v="Gujarat"/>
    <n v="1"/>
    <n v="349"/>
    <n v="10"/>
    <n v="314"/>
    <n v="314"/>
    <x v="3"/>
    <x v="1"/>
    <n v="55"/>
    <s v="No"/>
    <n v="16.149999999999999"/>
    <n v="162.07"/>
    <n v="80.78"/>
    <n v="314"/>
    <n v="33"/>
    <s v="2026-08"/>
  </r>
  <r>
    <s v="MS100734"/>
    <d v="2026-01-20T00:00:00"/>
    <x v="3"/>
    <s v="Kids Dress"/>
    <x v="1"/>
    <x v="2"/>
    <s v="Maharashtra"/>
    <n v="1"/>
    <n v="599"/>
    <n v="5"/>
    <n v="569"/>
    <n v="569"/>
    <x v="0"/>
    <x v="0"/>
    <n v="45"/>
    <s v="No"/>
    <n v="31.07"/>
    <n v="269.45"/>
    <n v="223.48"/>
    <n v="569"/>
    <n v="4"/>
    <s v="2026-01"/>
  </r>
  <r>
    <s v="MS100735"/>
    <d v="2026-04-23T00:00:00"/>
    <x v="0"/>
    <s v="Women Kurti Set"/>
    <x v="3"/>
    <x v="3"/>
    <s v="West Bengal"/>
    <n v="1"/>
    <n v="699"/>
    <n v="15"/>
    <n v="594"/>
    <n v="594"/>
    <x v="0"/>
    <x v="0"/>
    <n v="35"/>
    <s v="No"/>
    <n v="26.13"/>
    <n v="252.72"/>
    <n v="280.14999999999998"/>
    <n v="594"/>
    <n v="17"/>
    <s v="2026-04"/>
  </r>
  <r>
    <s v="MS100736"/>
    <d v="2026-05-20T00:00:00"/>
    <x v="4"/>
    <s v="Kitchen Storage Set"/>
    <x v="4"/>
    <x v="0"/>
    <s v="Maharashtra"/>
    <n v="1"/>
    <n v="499"/>
    <n v="15"/>
    <n v="424"/>
    <n v="424"/>
    <x v="2"/>
    <x v="0"/>
    <n v="35"/>
    <s v="Yes"/>
    <n v="27.1"/>
    <n v="212.4"/>
    <n v="149.5"/>
    <n v="424"/>
    <n v="21"/>
    <s v="2026-05"/>
  </r>
  <r>
    <s v="MS100737"/>
    <d v="2026-02-16T00:00:00"/>
    <x v="8"/>
    <s v="Printed Saree"/>
    <x v="3"/>
    <x v="5"/>
    <s v="Maharashtra"/>
    <n v="3"/>
    <n v="899"/>
    <n v="15"/>
    <n v="764"/>
    <n v="2292"/>
    <x v="1"/>
    <x v="0"/>
    <n v="45"/>
    <s v="No"/>
    <n v="139.13"/>
    <n v="991.16"/>
    <n v="1116.71"/>
    <n v="764"/>
    <n v="8"/>
    <s v="2026-02"/>
  </r>
  <r>
    <s v="MS100738"/>
    <d v="2026-01-01T00:00:00"/>
    <x v="3"/>
    <s v="Men's T-Shirt"/>
    <x v="2"/>
    <x v="0"/>
    <s v="Maharashtra"/>
    <n v="1"/>
    <n v="449"/>
    <n v="20"/>
    <n v="359"/>
    <n v="359"/>
    <x v="4"/>
    <x v="1"/>
    <n v="45"/>
    <s v="No"/>
    <n v="19.579999999999998"/>
    <n v="164.79"/>
    <n v="129.63"/>
    <n v="359"/>
    <n v="1"/>
    <s v="2026-01"/>
  </r>
  <r>
    <s v="MS100739"/>
    <d v="2026-03-31T00:00:00"/>
    <x v="1"/>
    <s v="Kids Dress"/>
    <x v="1"/>
    <x v="8"/>
    <s v="Telangana"/>
    <n v="1"/>
    <n v="599"/>
    <n v="25"/>
    <n v="449"/>
    <n v="449"/>
    <x v="0"/>
    <x v="0"/>
    <n v="45"/>
    <s v="No"/>
    <n v="20.14"/>
    <n v="192.41"/>
    <n v="191.45"/>
    <n v="449"/>
    <n v="14"/>
    <s v="2026-03"/>
  </r>
  <r>
    <s v="MS100740"/>
    <d v="2026-05-22T00:00:00"/>
    <x v="4"/>
    <s v="Handbag"/>
    <x v="6"/>
    <x v="5"/>
    <s v="Maharashtra"/>
    <n v="1"/>
    <n v="549"/>
    <n v="20"/>
    <n v="439"/>
    <n v="439"/>
    <x v="0"/>
    <x v="0"/>
    <n v="65"/>
    <s v="No"/>
    <n v="21.54"/>
    <n v="225.27"/>
    <n v="127.19"/>
    <n v="439"/>
    <n v="21"/>
    <s v="2026-05"/>
  </r>
  <r>
    <s v="MS100741"/>
    <d v="2026-02-07T00:00:00"/>
    <x v="8"/>
    <s v="Handbag"/>
    <x v="6"/>
    <x v="2"/>
    <s v="Maharashtra"/>
    <n v="1"/>
    <n v="549"/>
    <n v="20"/>
    <n v="439"/>
    <n v="439"/>
    <x v="3"/>
    <x v="1"/>
    <n v="35"/>
    <s v="No"/>
    <n v="33.53"/>
    <n v="212.21"/>
    <n v="158.26"/>
    <n v="439"/>
    <n v="6"/>
    <s v="2026-02"/>
  </r>
  <r>
    <s v="MS100742"/>
    <d v="2026-05-19T00:00:00"/>
    <x v="4"/>
    <s v="Leggings"/>
    <x v="3"/>
    <x v="3"/>
    <s v="West Bengal"/>
    <n v="3"/>
    <n v="299"/>
    <n v="10"/>
    <n v="269"/>
    <n v="807"/>
    <x v="0"/>
    <x v="1"/>
    <n v="55"/>
    <s v="No"/>
    <n v="55.36"/>
    <n v="364.36"/>
    <n v="332.28"/>
    <n v="269"/>
    <n v="21"/>
    <s v="2026-05"/>
  </r>
  <r>
    <s v="MS100743"/>
    <d v="2026-09-16T00:00:00"/>
    <x v="7"/>
    <s v="Kitchen Storage Set"/>
    <x v="4"/>
    <x v="7"/>
    <s v="Delhi"/>
    <n v="1"/>
    <n v="499"/>
    <n v="30"/>
    <n v="349"/>
    <n v="349"/>
    <x v="0"/>
    <x v="1"/>
    <n v="45"/>
    <s v="No"/>
    <n v="25.91"/>
    <n v="161.75"/>
    <n v="116.34"/>
    <n v="349"/>
    <n v="38"/>
    <s v="2026-09"/>
  </r>
  <r>
    <s v="MS100744"/>
    <d v="2026-06-10T00:00:00"/>
    <x v="6"/>
    <s v="Leggings"/>
    <x v="3"/>
    <x v="6"/>
    <s v="Uttar Pradesh"/>
    <n v="1"/>
    <n v="299"/>
    <n v="5"/>
    <n v="284"/>
    <n v="284"/>
    <x v="0"/>
    <x v="0"/>
    <n v="45"/>
    <s v="No"/>
    <n v="15.01"/>
    <n v="132.5"/>
    <n v="91.49"/>
    <n v="284"/>
    <n v="24"/>
    <s v="2026-06"/>
  </r>
  <r>
    <s v="MS100745"/>
    <d v="2026-06-27T00:00:00"/>
    <x v="6"/>
    <s v="Kids Dress"/>
    <x v="1"/>
    <x v="9"/>
    <s v="Gujarat"/>
    <n v="1"/>
    <n v="599"/>
    <n v="30"/>
    <n v="419"/>
    <n v="419"/>
    <x v="0"/>
    <x v="0"/>
    <n v="55"/>
    <s v="No"/>
    <n v="24.48"/>
    <n v="213.72"/>
    <n v="125.8"/>
    <n v="419"/>
    <n v="26"/>
    <s v="2026-06"/>
  </r>
  <r>
    <s v="MS100746"/>
    <d v="2026-01-10T00:00:00"/>
    <x v="3"/>
    <s v="Printed Saree"/>
    <x v="3"/>
    <x v="2"/>
    <s v="Maharashtra"/>
    <n v="2"/>
    <n v="899"/>
    <n v="30"/>
    <n v="629"/>
    <n v="1258"/>
    <x v="0"/>
    <x v="0"/>
    <n v="65"/>
    <s v="No"/>
    <n v="76.959999999999994"/>
    <n v="588.94000000000005"/>
    <n v="527.1"/>
    <n v="629"/>
    <n v="2"/>
    <s v="2026-01"/>
  </r>
  <r>
    <s v="MS100747"/>
    <d v="2026-09-18T00:00:00"/>
    <x v="7"/>
    <s v="Men's T-Shirt"/>
    <x v="2"/>
    <x v="6"/>
    <s v="Uttar Pradesh"/>
    <n v="1"/>
    <n v="449"/>
    <n v="15"/>
    <n v="382"/>
    <n v="382"/>
    <x v="0"/>
    <x v="1"/>
    <n v="35"/>
    <s v="No"/>
    <n v="19.47"/>
    <n v="191.04"/>
    <n v="136.49"/>
    <n v="382"/>
    <n v="38"/>
    <s v="2026-09"/>
  </r>
  <r>
    <s v="MS100748"/>
    <d v="2026-05-18T00:00:00"/>
    <x v="4"/>
    <s v="Women's Top"/>
    <x v="3"/>
    <x v="8"/>
    <s v="Telangana"/>
    <n v="1"/>
    <n v="399"/>
    <n v="35"/>
    <n v="259"/>
    <n v="259"/>
    <x v="3"/>
    <x v="0"/>
    <n v="45"/>
    <s v="No"/>
    <n v="12.15"/>
    <n v="118.61"/>
    <n v="83.24"/>
    <n v="259"/>
    <n v="21"/>
    <s v="2026-05"/>
  </r>
  <r>
    <s v="MS100749"/>
    <d v="2026-06-21T00:00:00"/>
    <x v="6"/>
    <s v="Men's T-Shirt"/>
    <x v="2"/>
    <x v="9"/>
    <s v="Gujarat"/>
    <n v="1"/>
    <n v="449"/>
    <n v="35"/>
    <n v="292"/>
    <n v="292"/>
    <x v="0"/>
    <x v="1"/>
    <n v="35"/>
    <s v="No"/>
    <n v="21.61"/>
    <n v="148.27000000000001"/>
    <n v="87.12"/>
    <n v="292"/>
    <n v="25"/>
    <s v="2026-06"/>
  </r>
  <r>
    <s v="MS100750"/>
    <d v="2026-01-13T00:00:00"/>
    <x v="3"/>
    <s v="Kitchen Storage Set"/>
    <x v="4"/>
    <x v="1"/>
    <s v="Karnataka"/>
    <n v="1"/>
    <n v="499"/>
    <n v="25"/>
    <n v="374"/>
    <n v="374"/>
    <x v="0"/>
    <x v="1"/>
    <n v="45"/>
    <s v="No"/>
    <n v="24.75"/>
    <n v="176.21"/>
    <n v="128.04"/>
    <n v="374"/>
    <n v="3"/>
    <s v="2026-01"/>
  </r>
  <r>
    <s v="MS100751"/>
    <d v="2026-06-17T00:00:00"/>
    <x v="6"/>
    <s v="Men's T-Shirt"/>
    <x v="2"/>
    <x v="7"/>
    <s v="Delhi"/>
    <n v="1"/>
    <n v="449"/>
    <n v="5"/>
    <n v="427"/>
    <n v="427"/>
    <x v="0"/>
    <x v="0"/>
    <n v="45"/>
    <s v="No"/>
    <n v="25.58"/>
    <n v="192.58"/>
    <n v="163.84"/>
    <n v="427"/>
    <n v="25"/>
    <s v="2026-06"/>
  </r>
  <r>
    <s v="MS100752"/>
    <d v="2026-05-10T00:00:00"/>
    <x v="4"/>
    <s v="Women Kurti Set"/>
    <x v="3"/>
    <x v="1"/>
    <s v="Karnataka"/>
    <n v="1"/>
    <n v="699"/>
    <n v="15"/>
    <n v="594"/>
    <n v="594"/>
    <x v="4"/>
    <x v="1"/>
    <n v="45"/>
    <s v="No"/>
    <n v="29.19"/>
    <n v="301.89999999999998"/>
    <n v="217.91"/>
    <n v="594"/>
    <n v="19"/>
    <s v="2026-05"/>
  </r>
  <r>
    <s v="MS100753"/>
    <d v="2026-03-25T00:00:00"/>
    <x v="1"/>
    <s v="Printed Saree"/>
    <x v="3"/>
    <x v="2"/>
    <s v="Maharashtra"/>
    <n v="1"/>
    <n v="899"/>
    <n v="20"/>
    <n v="719"/>
    <n v="719"/>
    <x v="0"/>
    <x v="1"/>
    <n v="65"/>
    <s v="No"/>
    <n v="54.29"/>
    <n v="348.09"/>
    <n v="251.62"/>
    <n v="719"/>
    <n v="13"/>
    <s v="2026-03"/>
  </r>
  <r>
    <s v="MS100754"/>
    <d v="2026-04-11T00:00:00"/>
    <x v="0"/>
    <s v="Women Kurti Set"/>
    <x v="3"/>
    <x v="2"/>
    <s v="Maharashtra"/>
    <n v="1"/>
    <n v="699"/>
    <n v="20"/>
    <n v="559"/>
    <n v="559"/>
    <x v="2"/>
    <x v="0"/>
    <n v="55"/>
    <s v="Yes"/>
    <n v="41.83"/>
    <n v="258.36"/>
    <n v="203.81"/>
    <n v="559"/>
    <n v="15"/>
    <s v="2026-04"/>
  </r>
  <r>
    <s v="MS100755"/>
    <d v="2026-09-22T00:00:00"/>
    <x v="7"/>
    <s v="Women Kurti Set"/>
    <x v="3"/>
    <x v="4"/>
    <s v="Rajasthan"/>
    <n v="1"/>
    <n v="699"/>
    <n v="10"/>
    <n v="629"/>
    <n v="629"/>
    <x v="0"/>
    <x v="1"/>
    <n v="45"/>
    <s v="No"/>
    <n v="35.56"/>
    <n v="298.56"/>
    <n v="249.88"/>
    <n v="629"/>
    <n v="39"/>
    <s v="2026-09"/>
  </r>
  <r>
    <s v="MS100756"/>
    <d v="2026-02-07T00:00:00"/>
    <x v="8"/>
    <s v="Kitchen Storage Set"/>
    <x v="4"/>
    <x v="1"/>
    <s v="Karnataka"/>
    <n v="2"/>
    <n v="499"/>
    <n v="5"/>
    <n v="474"/>
    <n v="948"/>
    <x v="0"/>
    <x v="1"/>
    <n v="65"/>
    <s v="No"/>
    <n v="65.260000000000005"/>
    <n v="431.6"/>
    <n v="386.14"/>
    <n v="474"/>
    <n v="6"/>
    <s v="2026-02"/>
  </r>
  <r>
    <s v="MS100757"/>
    <d v="2026-04-04T00:00:00"/>
    <x v="0"/>
    <s v="Kitchen Storage Set"/>
    <x v="4"/>
    <x v="4"/>
    <s v="Rajasthan"/>
    <n v="2"/>
    <n v="499"/>
    <n v="5"/>
    <n v="474"/>
    <n v="948"/>
    <x v="1"/>
    <x v="1"/>
    <n v="45"/>
    <s v="No"/>
    <n v="39.1"/>
    <n v="487.93"/>
    <n v="375.97"/>
    <n v="474"/>
    <n v="14"/>
    <s v="2026-04"/>
  </r>
  <r>
    <s v="MS100758"/>
    <d v="2026-04-05T00:00:00"/>
    <x v="0"/>
    <s v="Leggings"/>
    <x v="3"/>
    <x v="7"/>
    <s v="Delhi"/>
    <n v="1"/>
    <n v="299"/>
    <n v="35"/>
    <n v="194"/>
    <n v="194"/>
    <x v="0"/>
    <x v="0"/>
    <n v="35"/>
    <s v="No"/>
    <n v="11.3"/>
    <n v="95.17"/>
    <n v="52.53"/>
    <n v="194"/>
    <n v="14"/>
    <s v="2026-04"/>
  </r>
  <r>
    <s v="MS100759"/>
    <d v="2026-03-10T00:00:00"/>
    <x v="1"/>
    <s v="Women Kurti Set"/>
    <x v="3"/>
    <x v="3"/>
    <s v="West Bengal"/>
    <n v="1"/>
    <n v="699"/>
    <n v="30"/>
    <n v="489"/>
    <n v="489"/>
    <x v="3"/>
    <x v="0"/>
    <n v="35"/>
    <s v="No"/>
    <n v="27.13"/>
    <n v="222.3"/>
    <n v="204.57"/>
    <n v="489"/>
    <n v="11"/>
    <s v="2026-03"/>
  </r>
  <r>
    <s v="MS100760"/>
    <d v="2026-08-24T00:00:00"/>
    <x v="5"/>
    <s v="Oxidised Jewellery Set"/>
    <x v="7"/>
    <x v="1"/>
    <s v="Karnataka"/>
    <n v="1"/>
    <n v="249"/>
    <n v="5"/>
    <n v="237"/>
    <n v="237"/>
    <x v="0"/>
    <x v="0"/>
    <n v="45"/>
    <s v="No"/>
    <n v="11.3"/>
    <n v="111.49"/>
    <n v="69.209999999999994"/>
    <n v="237"/>
    <n v="35"/>
    <s v="2026-08"/>
  </r>
  <r>
    <s v="MS100761"/>
    <d v="2026-05-17T00:00:00"/>
    <x v="4"/>
    <s v="Kitchen Storage Set"/>
    <x v="4"/>
    <x v="7"/>
    <s v="Delhi"/>
    <n v="2"/>
    <n v="499"/>
    <n v="15"/>
    <n v="424"/>
    <n v="848"/>
    <x v="3"/>
    <x v="0"/>
    <n v="45"/>
    <s v="No"/>
    <n v="66.47"/>
    <n v="423.38"/>
    <n v="313.14999999999998"/>
    <n v="424"/>
    <n v="20"/>
    <s v="2026-05"/>
  </r>
  <r>
    <s v="MS100762"/>
    <d v="2026-03-17T00:00:00"/>
    <x v="1"/>
    <s v="Kids Dress"/>
    <x v="1"/>
    <x v="1"/>
    <s v="Karnataka"/>
    <n v="1"/>
    <n v="599"/>
    <n v="10"/>
    <n v="539"/>
    <n v="539"/>
    <x v="3"/>
    <x v="1"/>
    <n v="45"/>
    <s v="No"/>
    <n v="27.15"/>
    <n v="260.67"/>
    <n v="206.18"/>
    <n v="539"/>
    <n v="12"/>
    <s v="2026-03"/>
  </r>
  <r>
    <s v="MS100763"/>
    <d v="2026-02-04T00:00:00"/>
    <x v="8"/>
    <s v="Kids Dress"/>
    <x v="1"/>
    <x v="0"/>
    <s v="Maharashtra"/>
    <n v="3"/>
    <n v="599"/>
    <n v="10"/>
    <n v="539"/>
    <n v="1617"/>
    <x v="1"/>
    <x v="0"/>
    <n v="35"/>
    <s v="No"/>
    <n v="115.39"/>
    <n v="742.98"/>
    <n v="723.63"/>
    <n v="539"/>
    <n v="6"/>
    <s v="2026-02"/>
  </r>
  <r>
    <s v="MS100764"/>
    <d v="2026-01-01T00:00:00"/>
    <x v="3"/>
    <s v="Printed Saree"/>
    <x v="3"/>
    <x v="3"/>
    <s v="West Bengal"/>
    <n v="1"/>
    <n v="899"/>
    <n v="30"/>
    <n v="629"/>
    <n v="629"/>
    <x v="3"/>
    <x v="1"/>
    <n v="35"/>
    <s v="No"/>
    <n v="37.409999999999997"/>
    <n v="319.42"/>
    <n v="237.17"/>
    <n v="629"/>
    <n v="1"/>
    <s v="2026-01"/>
  </r>
  <r>
    <s v="MS100765"/>
    <d v="2026-03-01T00:00:00"/>
    <x v="1"/>
    <s v="Handbag"/>
    <x v="6"/>
    <x v="7"/>
    <s v="Delhi"/>
    <n v="1"/>
    <n v="549"/>
    <n v="20"/>
    <n v="439"/>
    <n v="439"/>
    <x v="0"/>
    <x v="1"/>
    <n v="35"/>
    <s v="No"/>
    <n v="25.55"/>
    <n v="208.78"/>
    <n v="169.67"/>
    <n v="439"/>
    <n v="9"/>
    <s v="2026-03"/>
  </r>
  <r>
    <s v="MS100766"/>
    <d v="2026-09-24T00:00:00"/>
    <x v="7"/>
    <s v="Kitchen Storage Set"/>
    <x v="4"/>
    <x v="5"/>
    <s v="Maharashtra"/>
    <n v="1"/>
    <n v="499"/>
    <n v="20"/>
    <n v="399"/>
    <n v="399"/>
    <x v="0"/>
    <x v="1"/>
    <n v="55"/>
    <s v="No"/>
    <n v="25.55"/>
    <n v="168.95"/>
    <n v="149.5"/>
    <n v="399"/>
    <n v="39"/>
    <s v="2026-09"/>
  </r>
  <r>
    <s v="MS100767"/>
    <d v="2026-08-17T00:00:00"/>
    <x v="5"/>
    <s v="Kids Dress"/>
    <x v="1"/>
    <x v="5"/>
    <s v="Maharashtra"/>
    <n v="1"/>
    <n v="599"/>
    <n v="20"/>
    <n v="479"/>
    <n v="479"/>
    <x v="0"/>
    <x v="0"/>
    <n v="65"/>
    <s v="No"/>
    <n v="37.799999999999997"/>
    <n v="211.79"/>
    <n v="164.41"/>
    <n v="479"/>
    <n v="34"/>
    <s v="2026-08"/>
  </r>
  <r>
    <s v="MS100768"/>
    <d v="2026-08-01T00:00:00"/>
    <x v="5"/>
    <s v="Bedsheet"/>
    <x v="4"/>
    <x v="2"/>
    <s v="Maharashtra"/>
    <n v="1"/>
    <n v="699"/>
    <n v="30"/>
    <n v="489"/>
    <n v="489"/>
    <x v="0"/>
    <x v="1"/>
    <n v="65"/>
    <s v="No"/>
    <n v="27.52"/>
    <n v="227.88"/>
    <n v="168.6"/>
    <n v="489"/>
    <n v="31"/>
    <s v="2026-08"/>
  </r>
  <r>
    <s v="MS100769"/>
    <d v="2026-06-14T00:00:00"/>
    <x v="6"/>
    <s v="Handbag"/>
    <x v="6"/>
    <x v="6"/>
    <s v="Uttar Pradesh"/>
    <n v="1"/>
    <n v="549"/>
    <n v="20"/>
    <n v="439"/>
    <n v="439"/>
    <x v="0"/>
    <x v="0"/>
    <n v="45"/>
    <s v="No"/>
    <n v="19.07"/>
    <n v="188.37"/>
    <n v="186.56"/>
    <n v="439"/>
    <n v="24"/>
    <s v="2026-06"/>
  </r>
  <r>
    <s v="MS100770"/>
    <d v="2026-01-05T00:00:00"/>
    <x v="3"/>
    <s v="Women's Slippers"/>
    <x v="5"/>
    <x v="2"/>
    <s v="Maharashtra"/>
    <n v="1"/>
    <n v="299"/>
    <n v="20"/>
    <n v="239"/>
    <n v="239"/>
    <x v="0"/>
    <x v="1"/>
    <n v="45"/>
    <s v="No"/>
    <n v="17.57"/>
    <n v="116.02"/>
    <n v="60.41"/>
    <n v="239"/>
    <n v="2"/>
    <s v="2026-01"/>
  </r>
  <r>
    <s v="MS100771"/>
    <d v="2026-03-19T00:00:00"/>
    <x v="1"/>
    <s v="Leggings"/>
    <x v="3"/>
    <x v="6"/>
    <s v="Uttar Pradesh"/>
    <n v="1"/>
    <n v="299"/>
    <n v="40"/>
    <n v="179"/>
    <n v="179"/>
    <x v="2"/>
    <x v="1"/>
    <n v="45"/>
    <s v="Yes"/>
    <n v="9.0299999999999994"/>
    <n v="76.38"/>
    <n v="48.59"/>
    <n v="179"/>
    <n v="12"/>
    <s v="2026-03"/>
  </r>
  <r>
    <s v="MS100772"/>
    <d v="2026-03-03T00:00:00"/>
    <x v="1"/>
    <s v="Makeup Organizer"/>
    <x v="0"/>
    <x v="5"/>
    <s v="Maharashtra"/>
    <n v="2"/>
    <n v="349"/>
    <n v="20"/>
    <n v="279"/>
    <n v="558"/>
    <x v="3"/>
    <x v="1"/>
    <n v="55"/>
    <s v="No"/>
    <n v="24.67"/>
    <n v="272.77"/>
    <n v="205.56"/>
    <n v="279"/>
    <n v="10"/>
    <s v="2026-03"/>
  </r>
  <r>
    <s v="MS100773"/>
    <d v="2026-05-12T00:00:00"/>
    <x v="4"/>
    <s v="Women's Top"/>
    <x v="3"/>
    <x v="6"/>
    <s v="Uttar Pradesh"/>
    <n v="1"/>
    <n v="399"/>
    <n v="15"/>
    <n v="339"/>
    <n v="339"/>
    <x v="0"/>
    <x v="1"/>
    <n v="35"/>
    <s v="No"/>
    <n v="21.31"/>
    <n v="173.14"/>
    <n v="109.55"/>
    <n v="339"/>
    <n v="20"/>
    <s v="2026-05"/>
  </r>
  <r>
    <s v="MS100774"/>
    <d v="2026-03-30T00:00:00"/>
    <x v="1"/>
    <s v="Women's Slippers"/>
    <x v="5"/>
    <x v="9"/>
    <s v="Gujarat"/>
    <n v="2"/>
    <n v="299"/>
    <n v="20"/>
    <n v="239"/>
    <n v="478"/>
    <x v="0"/>
    <x v="1"/>
    <n v="65"/>
    <s v="No"/>
    <n v="20.45"/>
    <n v="223.64"/>
    <n v="168.91"/>
    <n v="239"/>
    <n v="14"/>
    <s v="2026-03"/>
  </r>
  <r>
    <s v="MS100775"/>
    <d v="2026-08-25T00:00:00"/>
    <x v="5"/>
    <s v="Printed Saree"/>
    <x v="3"/>
    <x v="4"/>
    <s v="Rajasthan"/>
    <n v="2"/>
    <n v="899"/>
    <n v="20"/>
    <n v="719"/>
    <n v="1438"/>
    <x v="0"/>
    <x v="0"/>
    <n v="55"/>
    <s v="No"/>
    <n v="85.5"/>
    <n v="710.16"/>
    <n v="587.34"/>
    <n v="719"/>
    <n v="35"/>
    <s v="2026-08"/>
  </r>
  <r>
    <s v="MS100776"/>
    <d v="2026-02-11T00:00:00"/>
    <x v="8"/>
    <s v="Kitchen Storage Set"/>
    <x v="4"/>
    <x v="4"/>
    <s v="Rajasthan"/>
    <n v="1"/>
    <n v="499"/>
    <n v="30"/>
    <n v="349"/>
    <n v="349"/>
    <x v="3"/>
    <x v="0"/>
    <n v="35"/>
    <s v="No"/>
    <n v="24.77"/>
    <n v="155.82"/>
    <n v="133.41"/>
    <n v="349"/>
    <n v="7"/>
    <s v="2026-02"/>
  </r>
  <r>
    <s v="MS100777"/>
    <d v="2026-03-30T00:00:00"/>
    <x v="1"/>
    <s v="Handbag"/>
    <x v="6"/>
    <x v="6"/>
    <s v="Uttar Pradesh"/>
    <n v="2"/>
    <n v="549"/>
    <n v="20"/>
    <n v="439"/>
    <n v="878"/>
    <x v="0"/>
    <x v="0"/>
    <n v="65"/>
    <s v="No"/>
    <n v="62.16"/>
    <n v="377.89"/>
    <n v="372.95"/>
    <n v="439"/>
    <n v="14"/>
    <s v="2026-03"/>
  </r>
  <r>
    <s v="MS100778"/>
    <d v="2026-04-14T00:00:00"/>
    <x v="0"/>
    <s v="Leggings"/>
    <x v="3"/>
    <x v="0"/>
    <s v="Maharashtra"/>
    <n v="1"/>
    <n v="299"/>
    <n v="30"/>
    <n v="209"/>
    <n v="209"/>
    <x v="0"/>
    <x v="0"/>
    <n v="55"/>
    <s v="No"/>
    <n v="14.47"/>
    <n v="93.79"/>
    <n v="45.74"/>
    <n v="209"/>
    <n v="16"/>
    <s v="2026-04"/>
  </r>
  <r>
    <s v="MS100779"/>
    <d v="2026-01-14T00:00:00"/>
    <x v="3"/>
    <s v="Leggings"/>
    <x v="3"/>
    <x v="5"/>
    <s v="Maharashtra"/>
    <n v="2"/>
    <n v="299"/>
    <n v="20"/>
    <n v="239"/>
    <n v="478"/>
    <x v="0"/>
    <x v="1"/>
    <n v="65"/>
    <s v="No"/>
    <n v="20.11"/>
    <n v="241.86"/>
    <n v="151.03"/>
    <n v="239"/>
    <n v="3"/>
    <s v="2026-01"/>
  </r>
  <r>
    <s v="MS100780"/>
    <d v="2026-06-28T00:00:00"/>
    <x v="6"/>
    <s v="Women's Slippers"/>
    <x v="5"/>
    <x v="5"/>
    <s v="Maharashtra"/>
    <n v="1"/>
    <n v="299"/>
    <n v="20"/>
    <n v="239"/>
    <n v="239"/>
    <x v="4"/>
    <x v="1"/>
    <n v="55"/>
    <s v="No"/>
    <n v="17.28"/>
    <n v="108.9"/>
    <n v="57.82"/>
    <n v="239"/>
    <n v="26"/>
    <s v="2026-06"/>
  </r>
  <r>
    <s v="MS100781"/>
    <d v="2026-05-05T00:00:00"/>
    <x v="4"/>
    <s v="Women's Slippers"/>
    <x v="5"/>
    <x v="6"/>
    <s v="Uttar Pradesh"/>
    <n v="1"/>
    <n v="299"/>
    <n v="20"/>
    <n v="239"/>
    <n v="239"/>
    <x v="0"/>
    <x v="0"/>
    <n v="65"/>
    <s v="No"/>
    <n v="13.48"/>
    <n v="119.02"/>
    <n v="41.5"/>
    <n v="239"/>
    <n v="19"/>
    <s v="2026-05"/>
  </r>
  <r>
    <s v="MS100782"/>
    <d v="2026-01-23T00:00:00"/>
    <x v="3"/>
    <s v="Makeup Organizer"/>
    <x v="0"/>
    <x v="3"/>
    <s v="West Bengal"/>
    <n v="2"/>
    <n v="349"/>
    <n v="25"/>
    <n v="262"/>
    <n v="524"/>
    <x v="0"/>
    <x v="1"/>
    <n v="35"/>
    <s v="No"/>
    <n v="26.3"/>
    <n v="268"/>
    <n v="194.7"/>
    <n v="262"/>
    <n v="4"/>
    <s v="2026-01"/>
  </r>
  <r>
    <s v="MS100783"/>
    <d v="2026-03-04T00:00:00"/>
    <x v="1"/>
    <s v="Printed Saree"/>
    <x v="3"/>
    <x v="9"/>
    <s v="Gujarat"/>
    <n v="2"/>
    <n v="899"/>
    <n v="30"/>
    <n v="629"/>
    <n v="1258"/>
    <x v="4"/>
    <x v="0"/>
    <n v="65"/>
    <s v="No"/>
    <n v="56.92"/>
    <n v="624.74"/>
    <n v="511.34"/>
    <n v="629"/>
    <n v="10"/>
    <s v="2026-03"/>
  </r>
  <r>
    <s v="MS100784"/>
    <d v="2026-05-23T00:00:00"/>
    <x v="4"/>
    <s v="Printed Saree"/>
    <x v="3"/>
    <x v="7"/>
    <s v="Delhi"/>
    <n v="1"/>
    <n v="899"/>
    <n v="10"/>
    <n v="809"/>
    <n v="809"/>
    <x v="0"/>
    <x v="1"/>
    <n v="45"/>
    <s v="No"/>
    <n v="61.97"/>
    <n v="363.51"/>
    <n v="338.52"/>
    <n v="809"/>
    <n v="21"/>
    <s v="2026-05"/>
  </r>
  <r>
    <s v="MS100785"/>
    <d v="2026-06-02T00:00:00"/>
    <x v="6"/>
    <s v="Oxidised Jewellery Set"/>
    <x v="7"/>
    <x v="7"/>
    <s v="Delhi"/>
    <n v="1"/>
    <n v="249"/>
    <n v="30"/>
    <n v="174"/>
    <n v="174"/>
    <x v="0"/>
    <x v="0"/>
    <n v="35"/>
    <s v="No"/>
    <n v="13.03"/>
    <n v="74.319999999999993"/>
    <n v="51.65"/>
    <n v="174"/>
    <n v="23"/>
    <s v="2026-06"/>
  </r>
  <r>
    <s v="MS100786"/>
    <d v="2026-05-25T00:00:00"/>
    <x v="4"/>
    <s v="Kitchen Storage Set"/>
    <x v="4"/>
    <x v="1"/>
    <s v="Karnataka"/>
    <n v="1"/>
    <n v="499"/>
    <n v="10"/>
    <n v="449"/>
    <n v="449"/>
    <x v="0"/>
    <x v="1"/>
    <n v="55"/>
    <s v="No"/>
    <n v="34.340000000000003"/>
    <n v="231.06"/>
    <n v="128.6"/>
    <n v="449"/>
    <n v="22"/>
    <s v="2026-05"/>
  </r>
  <r>
    <s v="MS100787"/>
    <d v="2026-08-13T00:00:00"/>
    <x v="5"/>
    <s v="Kids Dress"/>
    <x v="1"/>
    <x v="5"/>
    <s v="Maharashtra"/>
    <n v="2"/>
    <n v="599"/>
    <n v="40"/>
    <n v="359"/>
    <n v="718"/>
    <x v="1"/>
    <x v="1"/>
    <n v="65"/>
    <s v="No"/>
    <n v="45.08"/>
    <n v="326.2"/>
    <n v="281.72000000000003"/>
    <n v="359"/>
    <n v="33"/>
    <s v="2026-08"/>
  </r>
  <r>
    <s v="MS100788"/>
    <d v="2026-04-14T00:00:00"/>
    <x v="0"/>
    <s v="Women Kurti Set"/>
    <x v="3"/>
    <x v="4"/>
    <s v="Rajasthan"/>
    <n v="1"/>
    <n v="699"/>
    <n v="20"/>
    <n v="559"/>
    <n v="559"/>
    <x v="0"/>
    <x v="1"/>
    <n v="65"/>
    <s v="No"/>
    <n v="25.55"/>
    <n v="273.68"/>
    <n v="194.77"/>
    <n v="559"/>
    <n v="16"/>
    <s v="2026-04"/>
  </r>
  <r>
    <s v="MS100789"/>
    <d v="2026-04-14T00:00:00"/>
    <x v="0"/>
    <s v="Kitchen Storage Set"/>
    <x v="4"/>
    <x v="0"/>
    <s v="Maharashtra"/>
    <n v="2"/>
    <n v="499"/>
    <n v="35"/>
    <n v="324"/>
    <n v="648"/>
    <x v="0"/>
    <x v="1"/>
    <n v="45"/>
    <s v="No"/>
    <n v="43.95"/>
    <n v="325.64999999999998"/>
    <n v="233.4"/>
    <n v="324"/>
    <n v="16"/>
    <s v="2026-04"/>
  </r>
  <r>
    <s v="MS100790"/>
    <d v="2026-02-08T00:00:00"/>
    <x v="8"/>
    <s v="Oxidised Jewellery Set"/>
    <x v="7"/>
    <x v="5"/>
    <s v="Maharashtra"/>
    <n v="1"/>
    <n v="249"/>
    <n v="15"/>
    <n v="212"/>
    <n v="212"/>
    <x v="0"/>
    <x v="1"/>
    <n v="55"/>
    <s v="No"/>
    <n v="10.73"/>
    <n v="108.2"/>
    <n v="38.07"/>
    <n v="212"/>
    <n v="6"/>
    <s v="2026-02"/>
  </r>
  <r>
    <s v="MS100791"/>
    <d v="2026-07-17T00:00:00"/>
    <x v="2"/>
    <s v="Women Kurti Set"/>
    <x v="3"/>
    <x v="1"/>
    <s v="Karnataka"/>
    <n v="3"/>
    <n v="699"/>
    <n v="40"/>
    <n v="419"/>
    <n v="1257"/>
    <x v="2"/>
    <x v="0"/>
    <n v="35"/>
    <s v="Yes"/>
    <n v="63.17"/>
    <n v="551.87"/>
    <n v="606.96"/>
    <n v="419"/>
    <n v="29"/>
    <s v="2026-07"/>
  </r>
  <r>
    <s v="MS100792"/>
    <d v="2026-05-14T00:00:00"/>
    <x v="4"/>
    <s v="Leggings"/>
    <x v="3"/>
    <x v="6"/>
    <s v="Uttar Pradesh"/>
    <n v="2"/>
    <n v="299"/>
    <n v="10"/>
    <n v="269"/>
    <n v="538"/>
    <x v="0"/>
    <x v="1"/>
    <n v="65"/>
    <s v="No"/>
    <n v="31.95"/>
    <n v="245.06"/>
    <n v="195.99"/>
    <n v="269"/>
    <n v="20"/>
    <s v="2026-05"/>
  </r>
  <r>
    <s v="MS100793"/>
    <d v="2026-03-08T00:00:00"/>
    <x v="1"/>
    <s v="Bedsheet"/>
    <x v="4"/>
    <x v="0"/>
    <s v="Maharashtra"/>
    <n v="1"/>
    <n v="699"/>
    <n v="5"/>
    <n v="664"/>
    <n v="664"/>
    <x v="0"/>
    <x v="0"/>
    <n v="35"/>
    <s v="No"/>
    <n v="34.57"/>
    <n v="285.16000000000003"/>
    <n v="309.27"/>
    <n v="664"/>
    <n v="10"/>
    <s v="2026-03"/>
  </r>
  <r>
    <s v="MS100794"/>
    <d v="2026-06-28T00:00:00"/>
    <x v="6"/>
    <s v="Women Kurti Set"/>
    <x v="3"/>
    <x v="9"/>
    <s v="Gujarat"/>
    <n v="1"/>
    <n v="699"/>
    <n v="10"/>
    <n v="629"/>
    <n v="629"/>
    <x v="4"/>
    <x v="1"/>
    <n v="35"/>
    <s v="No"/>
    <n v="30.39"/>
    <n v="295.89"/>
    <n v="267.72000000000003"/>
    <n v="629"/>
    <n v="26"/>
    <s v="2026-06"/>
  </r>
  <r>
    <s v="MS100795"/>
    <d v="2026-02-11T00:00:00"/>
    <x v="8"/>
    <s v="Men's T-Shirt"/>
    <x v="2"/>
    <x v="2"/>
    <s v="Maharashtra"/>
    <n v="2"/>
    <n v="449"/>
    <n v="30"/>
    <n v="314"/>
    <n v="628"/>
    <x v="3"/>
    <x v="0"/>
    <n v="65"/>
    <s v="No"/>
    <n v="38.869999999999997"/>
    <n v="267.8"/>
    <n v="256.33"/>
    <n v="314"/>
    <n v="7"/>
    <s v="2026-02"/>
  </r>
  <r>
    <s v="MS100796"/>
    <d v="2026-01-15T00:00:00"/>
    <x v="3"/>
    <s v="Makeup Organizer"/>
    <x v="0"/>
    <x v="5"/>
    <s v="Maharashtra"/>
    <n v="2"/>
    <n v="349"/>
    <n v="25"/>
    <n v="262"/>
    <n v="524"/>
    <x v="0"/>
    <x v="1"/>
    <n v="45"/>
    <s v="No"/>
    <n v="34.36"/>
    <n v="226.84"/>
    <n v="217.8"/>
    <n v="262"/>
    <n v="3"/>
    <s v="2026-01"/>
  </r>
  <r>
    <s v="MS100797"/>
    <d v="2026-04-21T00:00:00"/>
    <x v="0"/>
    <s v="Bedsheet"/>
    <x v="4"/>
    <x v="2"/>
    <s v="Maharashtra"/>
    <n v="1"/>
    <n v="699"/>
    <n v="10"/>
    <n v="629"/>
    <n v="629"/>
    <x v="0"/>
    <x v="1"/>
    <n v="55"/>
    <s v="No"/>
    <n v="32.65"/>
    <n v="313.83"/>
    <n v="227.52"/>
    <n v="629"/>
    <n v="17"/>
    <s v="2026-04"/>
  </r>
  <r>
    <s v="MS100798"/>
    <d v="2026-06-06T00:00:00"/>
    <x v="6"/>
    <s v="Makeup Organizer"/>
    <x v="0"/>
    <x v="2"/>
    <s v="Maharashtra"/>
    <n v="1"/>
    <n v="349"/>
    <n v="20"/>
    <n v="279"/>
    <n v="279"/>
    <x v="0"/>
    <x v="1"/>
    <n v="35"/>
    <s v="No"/>
    <n v="22.01"/>
    <n v="134.11000000000001"/>
    <n v="87.88"/>
    <n v="279"/>
    <n v="23"/>
    <s v="2026-06"/>
  </r>
  <r>
    <s v="MS100799"/>
    <d v="2026-08-19T00:00:00"/>
    <x v="5"/>
    <s v="Men's T-Shirt"/>
    <x v="2"/>
    <x v="6"/>
    <s v="Uttar Pradesh"/>
    <n v="2"/>
    <n v="449"/>
    <n v="15"/>
    <n v="382"/>
    <n v="764"/>
    <x v="0"/>
    <x v="1"/>
    <n v="65"/>
    <s v="No"/>
    <n v="52.04"/>
    <n v="326.08"/>
    <n v="320.88"/>
    <n v="382"/>
    <n v="34"/>
    <s v="2026-08"/>
  </r>
  <r>
    <s v="MS100800"/>
    <d v="2026-06-06T00:00:00"/>
    <x v="6"/>
    <s v="Makeup Organizer"/>
    <x v="0"/>
    <x v="5"/>
    <s v="Maharashtra"/>
    <n v="1"/>
    <n v="349"/>
    <n v="10"/>
    <n v="314"/>
    <n v="314"/>
    <x v="0"/>
    <x v="1"/>
    <n v="65"/>
    <s v="No"/>
    <n v="23.38"/>
    <n v="161.46"/>
    <n v="64.16"/>
    <n v="314"/>
    <n v="23"/>
    <s v="2026-06"/>
  </r>
  <r>
    <s v="MS100801"/>
    <d v="2026-02-07T00:00:00"/>
    <x v="8"/>
    <s v="Women's Top"/>
    <x v="3"/>
    <x v="5"/>
    <s v="Maharashtra"/>
    <n v="2"/>
    <n v="399"/>
    <n v="35"/>
    <n v="259"/>
    <n v="518"/>
    <x v="0"/>
    <x v="1"/>
    <n v="35"/>
    <s v="No"/>
    <n v="31.78"/>
    <n v="266.45999999999998"/>
    <n v="184.76"/>
    <n v="259"/>
    <n v="6"/>
    <s v="2026-02"/>
  </r>
  <r>
    <s v="MS100802"/>
    <d v="2026-04-07T00:00:00"/>
    <x v="0"/>
    <s v="Leggings"/>
    <x v="3"/>
    <x v="4"/>
    <s v="Rajasthan"/>
    <n v="1"/>
    <n v="299"/>
    <n v="20"/>
    <n v="239"/>
    <n v="239"/>
    <x v="0"/>
    <x v="0"/>
    <n v="35"/>
    <s v="No"/>
    <n v="15.48"/>
    <n v="116.53"/>
    <n v="71.989999999999995"/>
    <n v="239"/>
    <n v="15"/>
    <s v="2026-04"/>
  </r>
  <r>
    <s v="MS100803"/>
    <d v="2026-09-11T00:00:00"/>
    <x v="7"/>
    <s v="Kids Dress"/>
    <x v="1"/>
    <x v="8"/>
    <s v="Telangana"/>
    <n v="1"/>
    <n v="599"/>
    <n v="5"/>
    <n v="569"/>
    <n v="569"/>
    <x v="0"/>
    <x v="0"/>
    <n v="35"/>
    <s v="No"/>
    <n v="26.59"/>
    <n v="282.25"/>
    <n v="225.16"/>
    <n v="569"/>
    <n v="37"/>
    <s v="2026-09"/>
  </r>
  <r>
    <s v="MS100804"/>
    <d v="2026-07-15T00:00:00"/>
    <x v="2"/>
    <s v="Makeup Organizer"/>
    <x v="0"/>
    <x v="9"/>
    <s v="Gujarat"/>
    <n v="1"/>
    <n v="349"/>
    <n v="15"/>
    <n v="297"/>
    <n v="297"/>
    <x v="0"/>
    <x v="1"/>
    <n v="65"/>
    <s v="No"/>
    <n v="18.3"/>
    <n v="149.97"/>
    <n v="63.73"/>
    <n v="297"/>
    <n v="29"/>
    <s v="2026-07"/>
  </r>
  <r>
    <s v="MS100805"/>
    <d v="2026-03-27T00:00:00"/>
    <x v="1"/>
    <s v="Leggings"/>
    <x v="3"/>
    <x v="8"/>
    <s v="Telangana"/>
    <n v="1"/>
    <n v="299"/>
    <n v="25"/>
    <n v="224"/>
    <n v="224"/>
    <x v="0"/>
    <x v="1"/>
    <n v="65"/>
    <s v="No"/>
    <n v="15.18"/>
    <n v="105.71"/>
    <n v="38.11"/>
    <n v="224"/>
    <n v="13"/>
    <s v="2026-03"/>
  </r>
  <r>
    <s v="MS100806"/>
    <d v="2026-01-10T00:00:00"/>
    <x v="3"/>
    <s v="Makeup Organizer"/>
    <x v="0"/>
    <x v="3"/>
    <s v="West Bengal"/>
    <n v="1"/>
    <n v="349"/>
    <n v="10"/>
    <n v="314"/>
    <n v="314"/>
    <x v="0"/>
    <x v="1"/>
    <n v="35"/>
    <s v="No"/>
    <n v="19.96"/>
    <n v="134.68"/>
    <n v="124.36"/>
    <n v="314"/>
    <n v="2"/>
    <s v="2026-01"/>
  </r>
  <r>
    <s v="MS100807"/>
    <d v="2026-01-05T00:00:00"/>
    <x v="3"/>
    <s v="Men's T-Shirt"/>
    <x v="2"/>
    <x v="9"/>
    <s v="Gujarat"/>
    <n v="3"/>
    <n v="449"/>
    <n v="25"/>
    <n v="337"/>
    <n v="1011"/>
    <x v="3"/>
    <x v="1"/>
    <n v="55"/>
    <s v="No"/>
    <n v="51.88"/>
    <n v="515.09"/>
    <n v="389.03"/>
    <n v="337"/>
    <n v="2"/>
    <s v="2026-01"/>
  </r>
  <r>
    <s v="MS100808"/>
    <d v="2026-05-03T00:00:00"/>
    <x v="4"/>
    <s v="Oxidised Jewellery Set"/>
    <x v="7"/>
    <x v="8"/>
    <s v="Telangana"/>
    <n v="1"/>
    <n v="249"/>
    <n v="10"/>
    <n v="224"/>
    <n v="224"/>
    <x v="4"/>
    <x v="0"/>
    <n v="45"/>
    <s v="No"/>
    <n v="15.14"/>
    <n v="100.83"/>
    <n v="63.03"/>
    <n v="224"/>
    <n v="18"/>
    <s v="2026-05"/>
  </r>
  <r>
    <s v="MS100809"/>
    <d v="2026-04-28T00:00:00"/>
    <x v="0"/>
    <s v="Women's Slippers"/>
    <x v="5"/>
    <x v="4"/>
    <s v="Rajasthan"/>
    <n v="1"/>
    <n v="299"/>
    <n v="20"/>
    <n v="239"/>
    <n v="239"/>
    <x v="0"/>
    <x v="1"/>
    <n v="55"/>
    <s v="No"/>
    <n v="15.96"/>
    <n v="123.58"/>
    <n v="44.46"/>
    <n v="239"/>
    <n v="18"/>
    <s v="2026-04"/>
  </r>
  <r>
    <s v="MS100810"/>
    <d v="2026-06-08T00:00:00"/>
    <x v="6"/>
    <s v="Women Kurti Set"/>
    <x v="3"/>
    <x v="4"/>
    <s v="Rajasthan"/>
    <n v="1"/>
    <n v="699"/>
    <n v="20"/>
    <n v="559"/>
    <n v="559"/>
    <x v="0"/>
    <x v="0"/>
    <n v="35"/>
    <s v="No"/>
    <n v="29.18"/>
    <n v="273.23"/>
    <n v="221.59"/>
    <n v="559"/>
    <n v="24"/>
    <s v="2026-06"/>
  </r>
  <r>
    <s v="MS100811"/>
    <d v="2026-08-16T00:00:00"/>
    <x v="5"/>
    <s v="Handbag"/>
    <x v="6"/>
    <x v="2"/>
    <s v="Maharashtra"/>
    <n v="1"/>
    <n v="549"/>
    <n v="25"/>
    <n v="412"/>
    <n v="412"/>
    <x v="0"/>
    <x v="1"/>
    <n v="35"/>
    <s v="No"/>
    <n v="19.579999999999998"/>
    <n v="199.95"/>
    <n v="157.47"/>
    <n v="412"/>
    <n v="33"/>
    <s v="2026-08"/>
  </r>
  <r>
    <s v="MS100812"/>
    <d v="2026-08-04T00:00:00"/>
    <x v="5"/>
    <s v="Women's Top"/>
    <x v="3"/>
    <x v="1"/>
    <s v="Karnataka"/>
    <n v="1"/>
    <n v="399"/>
    <n v="30"/>
    <n v="279"/>
    <n v="279"/>
    <x v="0"/>
    <x v="1"/>
    <n v="45"/>
    <s v="No"/>
    <n v="18.59"/>
    <n v="125.17"/>
    <n v="90.24"/>
    <n v="279"/>
    <n v="32"/>
    <s v="2026-08"/>
  </r>
  <r>
    <s v="MS100813"/>
    <d v="2026-07-03T00:00:00"/>
    <x v="2"/>
    <s v="Women's Top"/>
    <x v="3"/>
    <x v="5"/>
    <s v="Maharashtra"/>
    <n v="1"/>
    <n v="399"/>
    <n v="5"/>
    <n v="379"/>
    <n v="379"/>
    <x v="4"/>
    <x v="1"/>
    <n v="35"/>
    <s v="No"/>
    <n v="28.21"/>
    <n v="159.38999999999999"/>
    <n v="156.4"/>
    <n v="379"/>
    <n v="27"/>
    <s v="2026-07"/>
  </r>
  <r>
    <s v="MS100814"/>
    <d v="2026-01-15T00:00:00"/>
    <x v="3"/>
    <s v="Makeup Organizer"/>
    <x v="0"/>
    <x v="5"/>
    <s v="Maharashtra"/>
    <n v="1"/>
    <n v="349"/>
    <n v="10"/>
    <n v="314"/>
    <n v="314"/>
    <x v="3"/>
    <x v="0"/>
    <n v="45"/>
    <s v="No"/>
    <n v="22.26"/>
    <n v="158.33000000000001"/>
    <n v="88.41"/>
    <n v="314"/>
    <n v="3"/>
    <s v="2026-01"/>
  </r>
  <r>
    <s v="MS100815"/>
    <d v="2026-06-06T00:00:00"/>
    <x v="6"/>
    <s v="Bedsheet"/>
    <x v="4"/>
    <x v="8"/>
    <s v="Telangana"/>
    <n v="2"/>
    <n v="699"/>
    <n v="15"/>
    <n v="594"/>
    <n v="1188"/>
    <x v="4"/>
    <x v="0"/>
    <n v="45"/>
    <s v="No"/>
    <n v="60.25"/>
    <n v="570.72"/>
    <n v="512.03"/>
    <n v="594"/>
    <n v="23"/>
    <s v="2026-06"/>
  </r>
  <r>
    <s v="MS100816"/>
    <d v="2026-05-16T00:00:00"/>
    <x v="4"/>
    <s v="Oxidised Jewellery Set"/>
    <x v="7"/>
    <x v="7"/>
    <s v="Delhi"/>
    <n v="1"/>
    <n v="249"/>
    <n v="15"/>
    <n v="212"/>
    <n v="212"/>
    <x v="0"/>
    <x v="1"/>
    <n v="35"/>
    <s v="No"/>
    <n v="15.65"/>
    <n v="101.99"/>
    <n v="59.36"/>
    <n v="212"/>
    <n v="20"/>
    <s v="2026-05"/>
  </r>
  <r>
    <s v="MS100817"/>
    <d v="2026-09-18T00:00:00"/>
    <x v="7"/>
    <s v="Women's Slippers"/>
    <x v="5"/>
    <x v="2"/>
    <s v="Maharashtra"/>
    <n v="1"/>
    <n v="299"/>
    <n v="30"/>
    <n v="209"/>
    <n v="209"/>
    <x v="3"/>
    <x v="1"/>
    <n v="45"/>
    <s v="No"/>
    <n v="14.2"/>
    <n v="93.87"/>
    <n v="55.93"/>
    <n v="209"/>
    <n v="38"/>
    <s v="2026-09"/>
  </r>
  <r>
    <s v="MS100818"/>
    <d v="2026-06-06T00:00:00"/>
    <x v="6"/>
    <s v="Kitchen Storage Set"/>
    <x v="4"/>
    <x v="2"/>
    <s v="Maharashtra"/>
    <n v="1"/>
    <n v="499"/>
    <n v="25"/>
    <n v="374"/>
    <n v="374"/>
    <x v="0"/>
    <x v="1"/>
    <n v="55"/>
    <s v="No"/>
    <n v="15.08"/>
    <n v="160.63999999999999"/>
    <n v="143.28"/>
    <n v="374"/>
    <n v="23"/>
    <s v="2026-06"/>
  </r>
  <r>
    <s v="MS100819"/>
    <d v="2026-02-16T00:00:00"/>
    <x v="8"/>
    <s v="Women Kurti Set"/>
    <x v="3"/>
    <x v="7"/>
    <s v="Delhi"/>
    <n v="1"/>
    <n v="699"/>
    <n v="20"/>
    <n v="559"/>
    <n v="559"/>
    <x v="3"/>
    <x v="0"/>
    <n v="35"/>
    <s v="No"/>
    <n v="40.54"/>
    <n v="288.32"/>
    <n v="195.14"/>
    <n v="559"/>
    <n v="8"/>
    <s v="2026-02"/>
  </r>
  <r>
    <s v="MS100820"/>
    <d v="2026-06-22T00:00:00"/>
    <x v="6"/>
    <s v="Oxidised Jewellery Set"/>
    <x v="7"/>
    <x v="6"/>
    <s v="Uttar Pradesh"/>
    <n v="2"/>
    <n v="249"/>
    <n v="25"/>
    <n v="187"/>
    <n v="374"/>
    <x v="0"/>
    <x v="1"/>
    <n v="65"/>
    <s v="No"/>
    <n v="27.84"/>
    <n v="160.01"/>
    <n v="121.15"/>
    <n v="187"/>
    <n v="26"/>
    <s v="2026-06"/>
  </r>
  <r>
    <s v="MS100821"/>
    <d v="2026-05-10T00:00:00"/>
    <x v="4"/>
    <s v="Women's Top"/>
    <x v="3"/>
    <x v="2"/>
    <s v="Maharashtra"/>
    <n v="1"/>
    <n v="399"/>
    <n v="25"/>
    <n v="299"/>
    <n v="299"/>
    <x v="0"/>
    <x v="0"/>
    <n v="45"/>
    <s v="No"/>
    <n v="23.58"/>
    <n v="133.84"/>
    <n v="96.58"/>
    <n v="299"/>
    <n v="19"/>
    <s v="2026-05"/>
  </r>
  <r>
    <s v="MS100822"/>
    <d v="2026-04-05T00:00:00"/>
    <x v="0"/>
    <s v="Makeup Organizer"/>
    <x v="0"/>
    <x v="5"/>
    <s v="Maharashtra"/>
    <n v="1"/>
    <n v="349"/>
    <n v="15"/>
    <n v="297"/>
    <n v="297"/>
    <x v="4"/>
    <x v="0"/>
    <n v="35"/>
    <s v="No"/>
    <n v="22.93"/>
    <n v="149.6"/>
    <n v="89.47"/>
    <n v="297"/>
    <n v="14"/>
    <s v="2026-04"/>
  </r>
  <r>
    <s v="MS100823"/>
    <d v="2026-04-25T00:00:00"/>
    <x v="0"/>
    <s v="Oxidised Jewellery Set"/>
    <x v="7"/>
    <x v="6"/>
    <s v="Uttar Pradesh"/>
    <n v="1"/>
    <n v="249"/>
    <n v="25"/>
    <n v="187"/>
    <n v="187"/>
    <x v="1"/>
    <x v="0"/>
    <n v="65"/>
    <s v="No"/>
    <n v="11.59"/>
    <n v="92.53"/>
    <n v="17.88"/>
    <n v="187"/>
    <n v="17"/>
    <s v="2026-04"/>
  </r>
  <r>
    <s v="MS100824"/>
    <d v="2026-08-31T00:00:00"/>
    <x v="5"/>
    <s v="Women's Slippers"/>
    <x v="5"/>
    <x v="7"/>
    <s v="Delhi"/>
    <n v="1"/>
    <n v="299"/>
    <n v="25"/>
    <n v="224"/>
    <n v="224"/>
    <x v="2"/>
    <x v="0"/>
    <n v="45"/>
    <s v="Yes"/>
    <n v="12.14"/>
    <n v="107.8"/>
    <n v="59.06"/>
    <n v="224"/>
    <n v="36"/>
    <s v="2026-08"/>
  </r>
  <r>
    <s v="MS100825"/>
    <d v="2026-03-10T00:00:00"/>
    <x v="1"/>
    <s v="Men's T-Shirt"/>
    <x v="2"/>
    <x v="3"/>
    <s v="West Bengal"/>
    <n v="1"/>
    <n v="449"/>
    <n v="15"/>
    <n v="382"/>
    <n v="382"/>
    <x v="0"/>
    <x v="1"/>
    <n v="55"/>
    <s v="No"/>
    <n v="28.05"/>
    <n v="166.12"/>
    <n v="132.83000000000001"/>
    <n v="382"/>
    <n v="11"/>
    <s v="2026-03"/>
  </r>
  <r>
    <s v="MS100826"/>
    <d v="2026-05-28T00:00:00"/>
    <x v="4"/>
    <s v="Women's Top"/>
    <x v="3"/>
    <x v="4"/>
    <s v="Rajasthan"/>
    <n v="1"/>
    <n v="399"/>
    <n v="30"/>
    <n v="279"/>
    <n v="279"/>
    <x v="1"/>
    <x v="0"/>
    <n v="35"/>
    <s v="No"/>
    <n v="13.3"/>
    <n v="118.89"/>
    <n v="111.81"/>
    <n v="279"/>
    <n v="22"/>
    <s v="2026-05"/>
  </r>
  <r>
    <s v="MS100827"/>
    <d v="2026-01-11T00:00:00"/>
    <x v="3"/>
    <s v="Makeup Organizer"/>
    <x v="0"/>
    <x v="3"/>
    <s v="West Bengal"/>
    <n v="1"/>
    <n v="349"/>
    <n v="5"/>
    <n v="332"/>
    <n v="332"/>
    <x v="3"/>
    <x v="1"/>
    <n v="45"/>
    <s v="No"/>
    <n v="25.79"/>
    <n v="159.47999999999999"/>
    <n v="101.73"/>
    <n v="332"/>
    <n v="2"/>
    <s v="2026-01"/>
  </r>
  <r>
    <s v="MS100828"/>
    <d v="2026-09-11T00:00:00"/>
    <x v="7"/>
    <s v="Printed Saree"/>
    <x v="3"/>
    <x v="5"/>
    <s v="Maharashtra"/>
    <n v="1"/>
    <n v="899"/>
    <n v="35"/>
    <n v="584"/>
    <n v="584"/>
    <x v="0"/>
    <x v="1"/>
    <n v="35"/>
    <s v="No"/>
    <n v="33.86"/>
    <n v="256.3"/>
    <n v="258.83999999999997"/>
    <n v="584"/>
    <n v="37"/>
    <s v="2026-09"/>
  </r>
  <r>
    <s v="MS100829"/>
    <d v="2026-02-07T00:00:00"/>
    <x v="8"/>
    <s v="Leggings"/>
    <x v="3"/>
    <x v="5"/>
    <s v="Maharashtra"/>
    <n v="2"/>
    <n v="299"/>
    <n v="5"/>
    <n v="284"/>
    <n v="568"/>
    <x v="0"/>
    <x v="0"/>
    <n v="55"/>
    <s v="No"/>
    <n v="39.090000000000003"/>
    <n v="266.98"/>
    <n v="206.93"/>
    <n v="284"/>
    <n v="6"/>
    <s v="2026-02"/>
  </r>
  <r>
    <s v="MS100830"/>
    <d v="2026-05-14T00:00:00"/>
    <x v="4"/>
    <s v="Men's T-Shirt"/>
    <x v="2"/>
    <x v="6"/>
    <s v="Uttar Pradesh"/>
    <n v="1"/>
    <n v="449"/>
    <n v="30"/>
    <n v="314"/>
    <n v="314"/>
    <x v="0"/>
    <x v="0"/>
    <n v="55"/>
    <s v="No"/>
    <n v="24.51"/>
    <n v="151.41999999999999"/>
    <n v="83.07"/>
    <n v="314"/>
    <n v="20"/>
    <s v="2026-05"/>
  </r>
  <r>
    <s v="MS100831"/>
    <d v="2026-07-19T00:00:00"/>
    <x v="2"/>
    <s v="Bedsheet"/>
    <x v="4"/>
    <x v="1"/>
    <s v="Karnataka"/>
    <n v="1"/>
    <n v="699"/>
    <n v="20"/>
    <n v="559"/>
    <n v="559"/>
    <x v="3"/>
    <x v="0"/>
    <n v="35"/>
    <s v="No"/>
    <n v="25.05"/>
    <n v="264.66000000000003"/>
    <n v="234.29"/>
    <n v="559"/>
    <n v="29"/>
    <s v="2026-07"/>
  </r>
  <r>
    <s v="MS100832"/>
    <d v="2026-01-23T00:00:00"/>
    <x v="3"/>
    <s v="Men's T-Shirt"/>
    <x v="2"/>
    <x v="0"/>
    <s v="Maharashtra"/>
    <n v="2"/>
    <n v="449"/>
    <n v="25"/>
    <n v="337"/>
    <n v="674"/>
    <x v="0"/>
    <x v="0"/>
    <n v="35"/>
    <s v="No"/>
    <n v="49.61"/>
    <n v="331.94"/>
    <n v="257.45"/>
    <n v="337"/>
    <n v="4"/>
    <s v="2026-01"/>
  </r>
  <r>
    <s v="MS100833"/>
    <d v="2026-08-06T00:00:00"/>
    <x v="5"/>
    <s v="Printed Saree"/>
    <x v="3"/>
    <x v="2"/>
    <s v="Maharashtra"/>
    <n v="3"/>
    <n v="899"/>
    <n v="15"/>
    <n v="764"/>
    <n v="2292"/>
    <x v="0"/>
    <x v="1"/>
    <n v="35"/>
    <s v="No"/>
    <n v="159.05000000000001"/>
    <n v="1032.45"/>
    <n v="1065.5"/>
    <n v="764"/>
    <n v="32"/>
    <s v="2026-08"/>
  </r>
  <r>
    <s v="MS100834"/>
    <d v="2026-05-21T00:00:00"/>
    <x v="4"/>
    <s v="Printed Saree"/>
    <x v="3"/>
    <x v="8"/>
    <s v="Telangana"/>
    <n v="1"/>
    <n v="899"/>
    <n v="35"/>
    <n v="584"/>
    <n v="584"/>
    <x v="1"/>
    <x v="1"/>
    <n v="55"/>
    <s v="No"/>
    <n v="27.75"/>
    <n v="281.77"/>
    <n v="219.48"/>
    <n v="584"/>
    <n v="21"/>
    <s v="2026-05"/>
  </r>
  <r>
    <s v="MS100835"/>
    <d v="2026-04-14T00:00:00"/>
    <x v="0"/>
    <s v="Oxidised Jewellery Set"/>
    <x v="7"/>
    <x v="8"/>
    <s v="Telangana"/>
    <n v="1"/>
    <n v="249"/>
    <n v="35"/>
    <n v="162"/>
    <n v="162"/>
    <x v="0"/>
    <x v="1"/>
    <n v="55"/>
    <s v="No"/>
    <n v="6.73"/>
    <n v="78.38"/>
    <n v="21.89"/>
    <n v="162"/>
    <n v="16"/>
    <s v="2026-04"/>
  </r>
  <r>
    <s v="MS100836"/>
    <d v="2026-07-29T00:00:00"/>
    <x v="2"/>
    <s v="Women's Top"/>
    <x v="3"/>
    <x v="3"/>
    <s v="West Bengal"/>
    <n v="1"/>
    <n v="399"/>
    <n v="25"/>
    <n v="299"/>
    <n v="299"/>
    <x v="0"/>
    <x v="0"/>
    <n v="55"/>
    <s v="No"/>
    <n v="20.22"/>
    <n v="140.93"/>
    <n v="82.85"/>
    <n v="299"/>
    <n v="31"/>
    <s v="2026-07"/>
  </r>
  <r>
    <s v="MS100837"/>
    <d v="2026-04-21T00:00:00"/>
    <x v="0"/>
    <s v="Women's Slippers"/>
    <x v="5"/>
    <x v="3"/>
    <s v="West Bengal"/>
    <n v="1"/>
    <n v="299"/>
    <n v="35"/>
    <n v="194"/>
    <n v="194"/>
    <x v="3"/>
    <x v="0"/>
    <n v="65"/>
    <s v="No"/>
    <n v="8.08"/>
    <n v="91.71"/>
    <n v="29.21"/>
    <n v="194"/>
    <n v="17"/>
    <s v="2026-04"/>
  </r>
  <r>
    <s v="MS100838"/>
    <d v="2026-04-14T00:00:00"/>
    <x v="0"/>
    <s v="Women's Top"/>
    <x v="3"/>
    <x v="7"/>
    <s v="Delhi"/>
    <n v="1"/>
    <n v="399"/>
    <n v="15"/>
    <n v="339"/>
    <n v="339"/>
    <x v="0"/>
    <x v="0"/>
    <n v="55"/>
    <s v="No"/>
    <n v="21.11"/>
    <n v="172.69"/>
    <n v="90.2"/>
    <n v="339"/>
    <n v="16"/>
    <s v="2026-04"/>
  </r>
  <r>
    <s v="MS100839"/>
    <d v="2026-06-20T00:00:00"/>
    <x v="6"/>
    <s v="Kitchen Storage Set"/>
    <x v="4"/>
    <x v="0"/>
    <s v="Maharashtra"/>
    <n v="1"/>
    <n v="499"/>
    <n v="15"/>
    <n v="424"/>
    <n v="424"/>
    <x v="3"/>
    <x v="1"/>
    <n v="35"/>
    <s v="No"/>
    <n v="25.69"/>
    <n v="186.57"/>
    <n v="176.74"/>
    <n v="424"/>
    <n v="25"/>
    <s v="2026-06"/>
  </r>
  <r>
    <s v="MS100840"/>
    <d v="2026-05-13T00:00:00"/>
    <x v="4"/>
    <s v="Printed Saree"/>
    <x v="3"/>
    <x v="6"/>
    <s v="Uttar Pradesh"/>
    <n v="1"/>
    <n v="899"/>
    <n v="35"/>
    <n v="584"/>
    <n v="584"/>
    <x v="0"/>
    <x v="0"/>
    <n v="65"/>
    <s v="No"/>
    <n v="40.94"/>
    <n v="289.27"/>
    <n v="188.79"/>
    <n v="584"/>
    <n v="20"/>
    <s v="2026-05"/>
  </r>
  <r>
    <s v="MS100841"/>
    <d v="2026-05-07T00:00:00"/>
    <x v="4"/>
    <s v="Kitchen Storage Set"/>
    <x v="4"/>
    <x v="4"/>
    <s v="Rajasthan"/>
    <n v="1"/>
    <n v="499"/>
    <n v="30"/>
    <n v="349"/>
    <n v="349"/>
    <x v="0"/>
    <x v="0"/>
    <n v="45"/>
    <s v="No"/>
    <n v="18.95"/>
    <n v="156.26"/>
    <n v="128.79"/>
    <n v="349"/>
    <n v="19"/>
    <s v="2026-05"/>
  </r>
  <r>
    <s v="MS100842"/>
    <d v="2026-04-16T00:00:00"/>
    <x v="0"/>
    <s v="Printed Saree"/>
    <x v="3"/>
    <x v="5"/>
    <s v="Maharashtra"/>
    <n v="2"/>
    <n v="899"/>
    <n v="15"/>
    <n v="764"/>
    <n v="1528"/>
    <x v="3"/>
    <x v="0"/>
    <n v="35"/>
    <s v="No"/>
    <n v="80.819999999999993"/>
    <n v="790.63"/>
    <n v="621.54999999999995"/>
    <n v="764"/>
    <n v="16"/>
    <s v="2026-04"/>
  </r>
  <r>
    <s v="MS100843"/>
    <d v="2026-04-02T00:00:00"/>
    <x v="0"/>
    <s v="Bedsheet"/>
    <x v="4"/>
    <x v="5"/>
    <s v="Maharashtra"/>
    <n v="2"/>
    <n v="699"/>
    <n v="20"/>
    <n v="559"/>
    <n v="1118"/>
    <x v="0"/>
    <x v="1"/>
    <n v="35"/>
    <s v="No"/>
    <n v="47.11"/>
    <n v="574.38"/>
    <n v="461.51"/>
    <n v="559"/>
    <n v="14"/>
    <s v="2026-04"/>
  </r>
  <r>
    <s v="MS100844"/>
    <d v="2026-02-20T00:00:00"/>
    <x v="8"/>
    <s v="Handbag"/>
    <x v="6"/>
    <x v="6"/>
    <s v="Uttar Pradesh"/>
    <n v="1"/>
    <n v="549"/>
    <n v="20"/>
    <n v="439"/>
    <n v="439"/>
    <x v="0"/>
    <x v="0"/>
    <n v="55"/>
    <s v="No"/>
    <n v="23.03"/>
    <n v="197.82"/>
    <n v="163.15"/>
    <n v="439"/>
    <n v="8"/>
    <s v="2026-02"/>
  </r>
  <r>
    <s v="MS100845"/>
    <d v="2026-01-29T00:00:00"/>
    <x v="3"/>
    <s v="Makeup Organizer"/>
    <x v="0"/>
    <x v="3"/>
    <s v="West Bengal"/>
    <n v="1"/>
    <n v="349"/>
    <n v="35"/>
    <n v="227"/>
    <n v="227"/>
    <x v="0"/>
    <x v="0"/>
    <n v="35"/>
    <s v="No"/>
    <n v="15.24"/>
    <n v="104.75"/>
    <n v="72.010000000000005"/>
    <n v="227"/>
    <n v="5"/>
    <s v="2026-01"/>
  </r>
  <r>
    <s v="MS100846"/>
    <d v="2026-08-02T00:00:00"/>
    <x v="5"/>
    <s v="Bedsheet"/>
    <x v="4"/>
    <x v="2"/>
    <s v="Maharashtra"/>
    <n v="1"/>
    <n v="699"/>
    <n v="40"/>
    <n v="419"/>
    <n v="419"/>
    <x v="3"/>
    <x v="0"/>
    <n v="55"/>
    <s v="No"/>
    <n v="26.15"/>
    <n v="205.09"/>
    <n v="132.76"/>
    <n v="419"/>
    <n v="31"/>
    <s v="2026-08"/>
  </r>
  <r>
    <s v="MS100847"/>
    <d v="2026-09-24T00:00:00"/>
    <x v="7"/>
    <s v="Handbag"/>
    <x v="6"/>
    <x v="9"/>
    <s v="Gujarat"/>
    <n v="2"/>
    <n v="549"/>
    <n v="20"/>
    <n v="439"/>
    <n v="878"/>
    <x v="1"/>
    <x v="1"/>
    <n v="35"/>
    <s v="No"/>
    <n v="46.59"/>
    <n v="407.14"/>
    <n v="389.27"/>
    <n v="439"/>
    <n v="39"/>
    <s v="2026-09"/>
  </r>
  <r>
    <s v="MS100848"/>
    <d v="2026-09-14T00:00:00"/>
    <x v="7"/>
    <s v="Makeup Organizer"/>
    <x v="0"/>
    <x v="8"/>
    <s v="Telangana"/>
    <n v="1"/>
    <n v="349"/>
    <n v="25"/>
    <n v="262"/>
    <n v="262"/>
    <x v="0"/>
    <x v="0"/>
    <n v="35"/>
    <s v="No"/>
    <n v="20.81"/>
    <n v="124.56"/>
    <n v="81.63"/>
    <n v="262"/>
    <n v="38"/>
    <s v="2026-09"/>
  </r>
  <r>
    <s v="MS100849"/>
    <d v="2026-04-11T00:00:00"/>
    <x v="0"/>
    <s v="Men's T-Shirt"/>
    <x v="2"/>
    <x v="9"/>
    <s v="Gujarat"/>
    <n v="1"/>
    <n v="449"/>
    <n v="35"/>
    <n v="292"/>
    <n v="292"/>
    <x v="0"/>
    <x v="1"/>
    <n v="55"/>
    <s v="No"/>
    <n v="16.64"/>
    <n v="149.9"/>
    <n v="70.459999999999994"/>
    <n v="292"/>
    <n v="15"/>
    <s v="2026-04"/>
  </r>
  <r>
    <s v="MS100850"/>
    <d v="2026-04-20T00:00:00"/>
    <x v="0"/>
    <s v="Men's T-Shirt"/>
    <x v="2"/>
    <x v="9"/>
    <s v="Gujarat"/>
    <n v="1"/>
    <n v="449"/>
    <n v="5"/>
    <n v="427"/>
    <n v="427"/>
    <x v="1"/>
    <x v="1"/>
    <n v="65"/>
    <s v="No"/>
    <n v="32.020000000000003"/>
    <n v="203.42"/>
    <n v="126.56"/>
    <n v="427"/>
    <n v="17"/>
    <s v="2026-04"/>
  </r>
  <r>
    <s v="MS100851"/>
    <d v="2026-07-01T00:00:00"/>
    <x v="2"/>
    <s v="Handbag"/>
    <x v="6"/>
    <x v="6"/>
    <s v="Uttar Pradesh"/>
    <n v="1"/>
    <n v="549"/>
    <n v="25"/>
    <n v="412"/>
    <n v="412"/>
    <x v="0"/>
    <x v="1"/>
    <n v="45"/>
    <s v="No"/>
    <n v="29.76"/>
    <n v="213.82"/>
    <n v="123.42"/>
    <n v="412"/>
    <n v="27"/>
    <s v="2026-07"/>
  </r>
  <r>
    <s v="MS100852"/>
    <d v="2026-01-01T00:00:00"/>
    <x v="3"/>
    <s v="Printed Saree"/>
    <x v="3"/>
    <x v="3"/>
    <s v="West Bengal"/>
    <n v="1"/>
    <n v="899"/>
    <n v="5"/>
    <n v="854"/>
    <n v="854"/>
    <x v="2"/>
    <x v="1"/>
    <n v="65"/>
    <s v="Yes"/>
    <n v="39.57"/>
    <n v="417.45"/>
    <n v="331.98"/>
    <n v="854"/>
    <n v="1"/>
    <s v="2026-01"/>
  </r>
  <r>
    <s v="MS100853"/>
    <d v="2026-02-24T00:00:00"/>
    <x v="8"/>
    <s v="Women's Slippers"/>
    <x v="5"/>
    <x v="9"/>
    <s v="Gujarat"/>
    <n v="1"/>
    <n v="299"/>
    <n v="30"/>
    <n v="209"/>
    <n v="209"/>
    <x v="0"/>
    <x v="1"/>
    <n v="35"/>
    <s v="No"/>
    <n v="13.4"/>
    <n v="99.47"/>
    <n v="61.13"/>
    <n v="209"/>
    <n v="9"/>
    <s v="2026-02"/>
  </r>
  <r>
    <s v="MS100854"/>
    <d v="2026-05-29T00:00:00"/>
    <x v="4"/>
    <s v="Men's T-Shirt"/>
    <x v="2"/>
    <x v="4"/>
    <s v="Rajasthan"/>
    <n v="2"/>
    <n v="449"/>
    <n v="35"/>
    <n v="292"/>
    <n v="584"/>
    <x v="2"/>
    <x v="1"/>
    <n v="45"/>
    <s v="Yes"/>
    <n v="29.96"/>
    <n v="267.36"/>
    <n v="241.68"/>
    <n v="292"/>
    <n v="22"/>
    <s v="2026-05"/>
  </r>
  <r>
    <s v="MS100855"/>
    <d v="2026-05-17T00:00:00"/>
    <x v="4"/>
    <s v="Oxidised Jewellery Set"/>
    <x v="7"/>
    <x v="9"/>
    <s v="Gujarat"/>
    <n v="1"/>
    <n v="249"/>
    <n v="15"/>
    <n v="212"/>
    <n v="212"/>
    <x v="0"/>
    <x v="0"/>
    <n v="45"/>
    <s v="No"/>
    <n v="10.43"/>
    <n v="104.93"/>
    <n v="51.64"/>
    <n v="212"/>
    <n v="20"/>
    <s v="2026-05"/>
  </r>
  <r>
    <s v="MS100856"/>
    <d v="2026-07-21T00:00:00"/>
    <x v="2"/>
    <s v="Handbag"/>
    <x v="6"/>
    <x v="5"/>
    <s v="Maharashtra"/>
    <n v="1"/>
    <n v="549"/>
    <n v="5"/>
    <n v="522"/>
    <n v="522"/>
    <x v="4"/>
    <x v="1"/>
    <n v="65"/>
    <s v="No"/>
    <n v="26.87"/>
    <n v="234.57"/>
    <n v="195.56"/>
    <n v="522"/>
    <n v="30"/>
    <s v="2026-07"/>
  </r>
  <r>
    <s v="MS100857"/>
    <d v="2026-04-27T00:00:00"/>
    <x v="0"/>
    <s v="Leggings"/>
    <x v="3"/>
    <x v="8"/>
    <s v="Telangana"/>
    <n v="1"/>
    <n v="299"/>
    <n v="20"/>
    <n v="239"/>
    <n v="239"/>
    <x v="0"/>
    <x v="1"/>
    <n v="65"/>
    <s v="No"/>
    <n v="15.33"/>
    <n v="122.7"/>
    <n v="35.97"/>
    <n v="239"/>
    <n v="18"/>
    <s v="2026-04"/>
  </r>
  <r>
    <s v="MS100858"/>
    <d v="2026-06-03T00:00:00"/>
    <x v="6"/>
    <s v="Women's Slippers"/>
    <x v="5"/>
    <x v="9"/>
    <s v="Gujarat"/>
    <n v="2"/>
    <n v="299"/>
    <n v="25"/>
    <n v="224"/>
    <n v="448"/>
    <x v="0"/>
    <x v="0"/>
    <n v="35"/>
    <s v="No"/>
    <n v="18.600000000000001"/>
    <n v="193.67"/>
    <n v="200.73"/>
    <n v="224"/>
    <n v="23"/>
    <s v="2026-06"/>
  </r>
  <r>
    <s v="MS100859"/>
    <d v="2026-03-04T00:00:00"/>
    <x v="1"/>
    <s v="Women's Slippers"/>
    <x v="5"/>
    <x v="8"/>
    <s v="Telangana"/>
    <n v="1"/>
    <n v="299"/>
    <n v="25"/>
    <n v="224"/>
    <n v="224"/>
    <x v="1"/>
    <x v="1"/>
    <n v="65"/>
    <s v="No"/>
    <n v="16.53"/>
    <n v="99.44"/>
    <n v="43.03"/>
    <n v="224"/>
    <n v="10"/>
    <s v="2026-03"/>
  </r>
  <r>
    <s v="MS100860"/>
    <d v="2026-09-01T00:00:00"/>
    <x v="7"/>
    <s v="Handbag"/>
    <x v="6"/>
    <x v="0"/>
    <s v="Maharashtra"/>
    <n v="1"/>
    <n v="549"/>
    <n v="15"/>
    <n v="467"/>
    <n v="467"/>
    <x v="0"/>
    <x v="1"/>
    <n v="65"/>
    <s v="No"/>
    <n v="30.34"/>
    <n v="226.65"/>
    <n v="145.01"/>
    <n v="467"/>
    <n v="36"/>
    <s v="2026-09"/>
  </r>
  <r>
    <s v="MS100861"/>
    <d v="2026-01-25T00:00:00"/>
    <x v="3"/>
    <s v="Printed Saree"/>
    <x v="3"/>
    <x v="2"/>
    <s v="Maharashtra"/>
    <n v="1"/>
    <n v="899"/>
    <n v="25"/>
    <n v="674"/>
    <n v="674"/>
    <x v="0"/>
    <x v="1"/>
    <n v="55"/>
    <s v="No"/>
    <n v="50.06"/>
    <n v="346.71"/>
    <n v="222.23"/>
    <n v="674"/>
    <n v="4"/>
    <s v="2026-01"/>
  </r>
  <r>
    <s v="MS100862"/>
    <d v="2026-03-31T00:00:00"/>
    <x v="1"/>
    <s v="Kitchen Storage Set"/>
    <x v="4"/>
    <x v="1"/>
    <s v="Karnataka"/>
    <n v="1"/>
    <n v="499"/>
    <n v="15"/>
    <n v="424"/>
    <n v="424"/>
    <x v="0"/>
    <x v="0"/>
    <n v="65"/>
    <s v="No"/>
    <n v="17.57"/>
    <n v="200.48"/>
    <n v="140.94999999999999"/>
    <n v="424"/>
    <n v="14"/>
    <s v="2026-03"/>
  </r>
  <r>
    <s v="MS100863"/>
    <d v="2026-03-16T00:00:00"/>
    <x v="1"/>
    <s v="Handbag"/>
    <x v="6"/>
    <x v="8"/>
    <s v="Telangana"/>
    <n v="2"/>
    <n v="549"/>
    <n v="30"/>
    <n v="384"/>
    <n v="768"/>
    <x v="0"/>
    <x v="1"/>
    <n v="35"/>
    <s v="No"/>
    <n v="48.18"/>
    <n v="356.31"/>
    <n v="328.51"/>
    <n v="384"/>
    <n v="12"/>
    <s v="2026-03"/>
  </r>
  <r>
    <s v="MS100864"/>
    <d v="2026-07-29T00:00:00"/>
    <x v="2"/>
    <s v="Printed Saree"/>
    <x v="3"/>
    <x v="6"/>
    <s v="Uttar Pradesh"/>
    <n v="2"/>
    <n v="899"/>
    <n v="25"/>
    <n v="674"/>
    <n v="1348"/>
    <x v="1"/>
    <x v="1"/>
    <n v="65"/>
    <s v="No"/>
    <n v="55.72"/>
    <n v="689.2"/>
    <n v="538.08000000000004"/>
    <n v="674"/>
    <n v="31"/>
    <s v="2026-07"/>
  </r>
  <r>
    <s v="MS100865"/>
    <d v="2026-01-17T00:00:00"/>
    <x v="3"/>
    <s v="Makeup Organizer"/>
    <x v="0"/>
    <x v="3"/>
    <s v="West Bengal"/>
    <n v="1"/>
    <n v="349"/>
    <n v="30"/>
    <n v="244"/>
    <n v="244"/>
    <x v="0"/>
    <x v="1"/>
    <n v="35"/>
    <s v="No"/>
    <n v="13.87"/>
    <n v="112.5"/>
    <n v="82.63"/>
    <n v="244"/>
    <n v="3"/>
    <s v="2026-01"/>
  </r>
  <r>
    <s v="MS100866"/>
    <d v="2026-05-08T00:00:00"/>
    <x v="4"/>
    <s v="Kitchen Storage Set"/>
    <x v="4"/>
    <x v="4"/>
    <s v="Rajasthan"/>
    <n v="1"/>
    <n v="499"/>
    <n v="15"/>
    <n v="424"/>
    <n v="424"/>
    <x v="0"/>
    <x v="1"/>
    <n v="65"/>
    <s v="No"/>
    <n v="23.78"/>
    <n v="193.97"/>
    <n v="141.25"/>
    <n v="424"/>
    <n v="19"/>
    <s v="2026-05"/>
  </r>
  <r>
    <s v="MS100867"/>
    <d v="2026-09-08T00:00:00"/>
    <x v="7"/>
    <s v="Printed Saree"/>
    <x v="3"/>
    <x v="0"/>
    <s v="Maharashtra"/>
    <n v="3"/>
    <n v="899"/>
    <n v="15"/>
    <n v="764"/>
    <n v="2292"/>
    <x v="0"/>
    <x v="0"/>
    <n v="65"/>
    <s v="No"/>
    <n v="94.61"/>
    <n v="1178.1300000000001"/>
    <n v="954.26"/>
    <n v="764"/>
    <n v="37"/>
    <s v="2026-09"/>
  </r>
  <r>
    <s v="MS100868"/>
    <d v="2026-06-28T00:00:00"/>
    <x v="6"/>
    <s v="Printed Saree"/>
    <x v="3"/>
    <x v="0"/>
    <s v="Maharashtra"/>
    <n v="1"/>
    <n v="899"/>
    <n v="15"/>
    <n v="764"/>
    <n v="764"/>
    <x v="0"/>
    <x v="1"/>
    <n v="45"/>
    <s v="No"/>
    <n v="32.21"/>
    <n v="355.81"/>
    <n v="330.98"/>
    <n v="764"/>
    <n v="26"/>
    <s v="2026-06"/>
  </r>
  <r>
    <s v="MS100869"/>
    <d v="2026-07-01T00:00:00"/>
    <x v="2"/>
    <s v="Women's Slippers"/>
    <x v="5"/>
    <x v="7"/>
    <s v="Delhi"/>
    <n v="1"/>
    <n v="299"/>
    <n v="30"/>
    <n v="209"/>
    <n v="209"/>
    <x v="0"/>
    <x v="1"/>
    <n v="55"/>
    <s v="No"/>
    <n v="16.260000000000002"/>
    <n v="97.85"/>
    <n v="39.89"/>
    <n v="209"/>
    <n v="27"/>
    <s v="2026-07"/>
  </r>
  <r>
    <s v="MS100870"/>
    <d v="2026-06-01T00:00:00"/>
    <x v="6"/>
    <s v="Women Kurti Set"/>
    <x v="3"/>
    <x v="3"/>
    <s v="West Bengal"/>
    <n v="1"/>
    <n v="699"/>
    <n v="10"/>
    <n v="629"/>
    <n v="629"/>
    <x v="3"/>
    <x v="1"/>
    <n v="55"/>
    <s v="No"/>
    <n v="46.51"/>
    <n v="308.58999999999997"/>
    <n v="218.9"/>
    <n v="629"/>
    <n v="23"/>
    <s v="2026-06"/>
  </r>
  <r>
    <s v="MS100871"/>
    <d v="2026-01-25T00:00:00"/>
    <x v="3"/>
    <s v="Women's Top"/>
    <x v="3"/>
    <x v="1"/>
    <s v="Karnataka"/>
    <n v="1"/>
    <n v="399"/>
    <n v="15"/>
    <n v="339"/>
    <n v="339"/>
    <x v="3"/>
    <x v="0"/>
    <n v="55"/>
    <s v="No"/>
    <n v="24.45"/>
    <n v="143.88"/>
    <n v="115.67"/>
    <n v="339"/>
    <n v="4"/>
    <s v="2026-01"/>
  </r>
  <r>
    <s v="MS100872"/>
    <d v="2026-06-29T00:00:00"/>
    <x v="6"/>
    <s v="Men's T-Shirt"/>
    <x v="2"/>
    <x v="3"/>
    <s v="West Bengal"/>
    <n v="2"/>
    <n v="449"/>
    <n v="10"/>
    <n v="404"/>
    <n v="808"/>
    <x v="1"/>
    <x v="1"/>
    <n v="65"/>
    <s v="No"/>
    <n v="45.67"/>
    <n v="382.79"/>
    <n v="314.54000000000002"/>
    <n v="404"/>
    <n v="27"/>
    <s v="2026-06"/>
  </r>
  <r>
    <s v="MS100873"/>
    <d v="2026-07-17T00:00:00"/>
    <x v="2"/>
    <s v="Women Kurti Set"/>
    <x v="3"/>
    <x v="2"/>
    <s v="Maharashtra"/>
    <n v="1"/>
    <n v="699"/>
    <n v="25"/>
    <n v="524"/>
    <n v="524"/>
    <x v="0"/>
    <x v="1"/>
    <n v="55"/>
    <s v="No"/>
    <n v="34.450000000000003"/>
    <n v="225.74"/>
    <n v="208.81"/>
    <n v="524"/>
    <n v="29"/>
    <s v="2026-07"/>
  </r>
  <r>
    <s v="MS100874"/>
    <d v="2026-06-10T00:00:00"/>
    <x v="6"/>
    <s v="Leggings"/>
    <x v="3"/>
    <x v="1"/>
    <s v="Karnataka"/>
    <n v="1"/>
    <n v="299"/>
    <n v="15"/>
    <n v="254"/>
    <n v="254"/>
    <x v="0"/>
    <x v="1"/>
    <n v="45"/>
    <s v="No"/>
    <n v="18.93"/>
    <n v="126.3"/>
    <n v="63.77"/>
    <n v="254"/>
    <n v="24"/>
    <s v="2026-06"/>
  </r>
  <r>
    <s v="MS100875"/>
    <d v="2026-06-26T00:00:00"/>
    <x v="6"/>
    <s v="Bedsheet"/>
    <x v="4"/>
    <x v="8"/>
    <s v="Telangana"/>
    <n v="1"/>
    <n v="699"/>
    <n v="40"/>
    <n v="419"/>
    <n v="419"/>
    <x v="0"/>
    <x v="0"/>
    <n v="35"/>
    <s v="No"/>
    <n v="18.8"/>
    <n v="197.34"/>
    <n v="167.86"/>
    <n v="419"/>
    <n v="26"/>
    <s v="2026-06"/>
  </r>
  <r>
    <s v="MS100876"/>
    <d v="2026-03-04T00:00:00"/>
    <x v="1"/>
    <s v="Leggings"/>
    <x v="3"/>
    <x v="6"/>
    <s v="Uttar Pradesh"/>
    <n v="1"/>
    <n v="299"/>
    <n v="25"/>
    <n v="224"/>
    <n v="224"/>
    <x v="4"/>
    <x v="0"/>
    <n v="35"/>
    <s v="No"/>
    <n v="10.26"/>
    <n v="114.34"/>
    <n v="64.400000000000006"/>
    <n v="224"/>
    <n v="10"/>
    <s v="2026-03"/>
  </r>
  <r>
    <s v="MS100877"/>
    <d v="2026-05-30T00:00:00"/>
    <x v="4"/>
    <s v="Women's Slippers"/>
    <x v="5"/>
    <x v="5"/>
    <s v="Maharashtra"/>
    <n v="2"/>
    <n v="299"/>
    <n v="15"/>
    <n v="254"/>
    <n v="508"/>
    <x v="2"/>
    <x v="0"/>
    <n v="55"/>
    <s v="Yes"/>
    <n v="21.92"/>
    <n v="248.58"/>
    <n v="182.5"/>
    <n v="254"/>
    <n v="22"/>
    <s v="2026-05"/>
  </r>
  <r>
    <s v="MS100878"/>
    <d v="2026-06-03T00:00:00"/>
    <x v="6"/>
    <s v="Leggings"/>
    <x v="3"/>
    <x v="0"/>
    <s v="Maharashtra"/>
    <n v="2"/>
    <n v="299"/>
    <n v="40"/>
    <n v="179"/>
    <n v="358"/>
    <x v="0"/>
    <x v="1"/>
    <n v="45"/>
    <s v="No"/>
    <n v="26.91"/>
    <n v="161.63"/>
    <n v="124.46"/>
    <n v="179"/>
    <n v="23"/>
    <s v="2026-06"/>
  </r>
  <r>
    <s v="MS100879"/>
    <d v="2026-06-05T00:00:00"/>
    <x v="6"/>
    <s v="Bedsheet"/>
    <x v="4"/>
    <x v="8"/>
    <s v="Telangana"/>
    <n v="1"/>
    <n v="699"/>
    <n v="25"/>
    <n v="524"/>
    <n v="524"/>
    <x v="0"/>
    <x v="0"/>
    <n v="55"/>
    <s v="No"/>
    <n v="39.72"/>
    <n v="271.57"/>
    <n v="157.71"/>
    <n v="524"/>
    <n v="23"/>
    <s v="2026-06"/>
  </r>
  <r>
    <s v="MS100880"/>
    <d v="2026-02-18T00:00:00"/>
    <x v="8"/>
    <s v="Handbag"/>
    <x v="6"/>
    <x v="5"/>
    <s v="Maharashtra"/>
    <n v="1"/>
    <n v="549"/>
    <n v="10"/>
    <n v="494"/>
    <n v="494"/>
    <x v="2"/>
    <x v="0"/>
    <n v="35"/>
    <s v="Yes"/>
    <n v="20.12"/>
    <n v="220.84"/>
    <n v="218.04"/>
    <n v="494"/>
    <n v="8"/>
    <s v="2026-02"/>
  </r>
  <r>
    <s v="MS100881"/>
    <d v="2026-03-25T00:00:00"/>
    <x v="1"/>
    <s v="Women's Top"/>
    <x v="3"/>
    <x v="7"/>
    <s v="Delhi"/>
    <n v="1"/>
    <n v="399"/>
    <n v="15"/>
    <n v="339"/>
    <n v="339"/>
    <x v="0"/>
    <x v="1"/>
    <n v="45"/>
    <s v="No"/>
    <n v="17.940000000000001"/>
    <n v="170.82"/>
    <n v="105.24"/>
    <n v="339"/>
    <n v="13"/>
    <s v="2026-03"/>
  </r>
  <r>
    <s v="MS100882"/>
    <d v="2026-06-26T00:00:00"/>
    <x v="6"/>
    <s v="Men's T-Shirt"/>
    <x v="2"/>
    <x v="3"/>
    <s v="West Bengal"/>
    <n v="1"/>
    <n v="449"/>
    <n v="35"/>
    <n v="292"/>
    <n v="292"/>
    <x v="0"/>
    <x v="1"/>
    <n v="45"/>
    <s v="No"/>
    <n v="13.04"/>
    <n v="130.62"/>
    <n v="103.34"/>
    <n v="292"/>
    <n v="26"/>
    <s v="2026-06"/>
  </r>
  <r>
    <s v="MS100883"/>
    <d v="2026-05-28T00:00:00"/>
    <x v="4"/>
    <s v="Bedsheet"/>
    <x v="4"/>
    <x v="4"/>
    <s v="Rajasthan"/>
    <n v="2"/>
    <n v="699"/>
    <n v="10"/>
    <n v="629"/>
    <n v="1258"/>
    <x v="3"/>
    <x v="1"/>
    <n v="45"/>
    <s v="No"/>
    <n v="67.7"/>
    <n v="653.03"/>
    <n v="492.27"/>
    <n v="629"/>
    <n v="22"/>
    <s v="2026-05"/>
  </r>
  <r>
    <s v="MS100884"/>
    <d v="2026-04-28T00:00:00"/>
    <x v="0"/>
    <s v="Oxidised Jewellery Set"/>
    <x v="7"/>
    <x v="6"/>
    <s v="Uttar Pradesh"/>
    <n v="1"/>
    <n v="249"/>
    <n v="30"/>
    <n v="174"/>
    <n v="174"/>
    <x v="0"/>
    <x v="1"/>
    <n v="55"/>
    <s v="No"/>
    <n v="7.24"/>
    <n v="87.69"/>
    <n v="24.07"/>
    <n v="174"/>
    <n v="18"/>
    <s v="2026-04"/>
  </r>
  <r>
    <s v="MS100885"/>
    <d v="2026-03-04T00:00:00"/>
    <x v="1"/>
    <s v="Bedsheet"/>
    <x v="4"/>
    <x v="7"/>
    <s v="Delhi"/>
    <n v="1"/>
    <n v="699"/>
    <n v="20"/>
    <n v="559"/>
    <n v="559"/>
    <x v="0"/>
    <x v="0"/>
    <n v="45"/>
    <s v="No"/>
    <n v="36.17"/>
    <n v="260.29000000000002"/>
    <n v="217.54"/>
    <n v="559"/>
    <n v="10"/>
    <s v="2026-03"/>
  </r>
  <r>
    <s v="MS100886"/>
    <d v="2026-07-08T00:00:00"/>
    <x v="2"/>
    <s v="Makeup Organizer"/>
    <x v="0"/>
    <x v="4"/>
    <s v="Rajasthan"/>
    <n v="2"/>
    <n v="349"/>
    <n v="30"/>
    <n v="244"/>
    <n v="488"/>
    <x v="0"/>
    <x v="1"/>
    <n v="65"/>
    <s v="No"/>
    <n v="34.07"/>
    <n v="215.38"/>
    <n v="173.55"/>
    <n v="244"/>
    <n v="28"/>
    <s v="2026-07"/>
  </r>
  <r>
    <s v="MS100887"/>
    <d v="2026-02-18T00:00:00"/>
    <x v="8"/>
    <s v="Men's T-Shirt"/>
    <x v="2"/>
    <x v="4"/>
    <s v="Rajasthan"/>
    <n v="2"/>
    <n v="449"/>
    <n v="20"/>
    <n v="359"/>
    <n v="718"/>
    <x v="3"/>
    <x v="0"/>
    <n v="45"/>
    <s v="No"/>
    <n v="51.52"/>
    <n v="364.34"/>
    <n v="257.14"/>
    <n v="359"/>
    <n v="8"/>
    <s v="2026-02"/>
  </r>
  <r>
    <s v="MS100888"/>
    <d v="2026-09-14T00:00:00"/>
    <x v="7"/>
    <s v="Handbag"/>
    <x v="6"/>
    <x v="0"/>
    <s v="Maharashtra"/>
    <n v="1"/>
    <n v="549"/>
    <n v="30"/>
    <n v="384"/>
    <n v="384"/>
    <x v="0"/>
    <x v="1"/>
    <n v="55"/>
    <s v="No"/>
    <n v="30.41"/>
    <n v="171.58"/>
    <n v="127.01"/>
    <n v="384"/>
    <n v="38"/>
    <s v="2026-09"/>
  </r>
  <r>
    <s v="MS100889"/>
    <d v="2026-08-12T00:00:00"/>
    <x v="5"/>
    <s v="Handbag"/>
    <x v="6"/>
    <x v="2"/>
    <s v="Maharashtra"/>
    <n v="1"/>
    <n v="549"/>
    <n v="25"/>
    <n v="412"/>
    <n v="412"/>
    <x v="0"/>
    <x v="1"/>
    <n v="65"/>
    <s v="No"/>
    <n v="28.2"/>
    <n v="191.13"/>
    <n v="127.67"/>
    <n v="412"/>
    <n v="33"/>
    <s v="2026-08"/>
  </r>
  <r>
    <s v="MS100890"/>
    <d v="2026-05-21T00:00:00"/>
    <x v="4"/>
    <s v="Kitchen Storage Set"/>
    <x v="4"/>
    <x v="2"/>
    <s v="Maharashtra"/>
    <n v="1"/>
    <n v="499"/>
    <n v="15"/>
    <n v="424"/>
    <n v="424"/>
    <x v="3"/>
    <x v="1"/>
    <n v="45"/>
    <s v="No"/>
    <n v="26.32"/>
    <n v="204.87"/>
    <n v="147.81"/>
    <n v="424"/>
    <n v="21"/>
    <s v="2026-05"/>
  </r>
  <r>
    <s v="MS100891"/>
    <d v="2026-08-03T00:00:00"/>
    <x v="5"/>
    <s v="Kids Dress"/>
    <x v="1"/>
    <x v="8"/>
    <s v="Telangana"/>
    <n v="3"/>
    <n v="599"/>
    <n v="5"/>
    <n v="569"/>
    <n v="1707"/>
    <x v="0"/>
    <x v="1"/>
    <n v="35"/>
    <s v="No"/>
    <n v="124.29"/>
    <n v="752.67"/>
    <n v="795.04"/>
    <n v="569"/>
    <n v="32"/>
    <s v="2026-08"/>
  </r>
  <r>
    <s v="MS100892"/>
    <d v="2026-07-30T00:00:00"/>
    <x v="2"/>
    <s v="Kids Dress"/>
    <x v="1"/>
    <x v="0"/>
    <s v="Maharashtra"/>
    <n v="1"/>
    <n v="599"/>
    <n v="10"/>
    <n v="539"/>
    <n v="539"/>
    <x v="0"/>
    <x v="0"/>
    <n v="35"/>
    <s v="No"/>
    <n v="26.95"/>
    <n v="259.23"/>
    <n v="217.82"/>
    <n v="539"/>
    <n v="31"/>
    <s v="2026-07"/>
  </r>
  <r>
    <s v="MS100893"/>
    <d v="2026-02-01T00:00:00"/>
    <x v="8"/>
    <s v="Makeup Organizer"/>
    <x v="0"/>
    <x v="3"/>
    <s v="West Bengal"/>
    <n v="1"/>
    <n v="349"/>
    <n v="10"/>
    <n v="314"/>
    <n v="314"/>
    <x v="0"/>
    <x v="1"/>
    <n v="65"/>
    <s v="No"/>
    <n v="23.78"/>
    <n v="145.94999999999999"/>
    <n v="79.27"/>
    <n v="314"/>
    <n v="5"/>
    <s v="2026-02"/>
  </r>
  <r>
    <s v="MS100894"/>
    <d v="2026-06-07T00:00:00"/>
    <x v="6"/>
    <s v="Oxidised Jewellery Set"/>
    <x v="7"/>
    <x v="9"/>
    <s v="Gujarat"/>
    <n v="1"/>
    <n v="249"/>
    <n v="35"/>
    <n v="162"/>
    <n v="162"/>
    <x v="1"/>
    <x v="1"/>
    <n v="65"/>
    <s v="No"/>
    <n v="7.97"/>
    <n v="77.13"/>
    <n v="11.9"/>
    <n v="162"/>
    <n v="23"/>
    <s v="2026-06"/>
  </r>
  <r>
    <s v="MS100895"/>
    <d v="2026-05-24T00:00:00"/>
    <x v="4"/>
    <s v="Men's T-Shirt"/>
    <x v="2"/>
    <x v="7"/>
    <s v="Delhi"/>
    <n v="1"/>
    <n v="449"/>
    <n v="15"/>
    <n v="382"/>
    <n v="382"/>
    <x v="0"/>
    <x v="0"/>
    <n v="35"/>
    <s v="No"/>
    <n v="19.059999999999999"/>
    <n v="191.28"/>
    <n v="136.66"/>
    <n v="382"/>
    <n v="21"/>
    <s v="2026-05"/>
  </r>
  <r>
    <s v="MS100896"/>
    <d v="2026-01-19T00:00:00"/>
    <x v="3"/>
    <s v="Kitchen Storage Set"/>
    <x v="4"/>
    <x v="6"/>
    <s v="Uttar Pradesh"/>
    <n v="3"/>
    <n v="499"/>
    <n v="35"/>
    <n v="324"/>
    <n v="972"/>
    <x v="2"/>
    <x v="0"/>
    <n v="35"/>
    <s v="Yes"/>
    <n v="58.12"/>
    <n v="480.39"/>
    <n v="398.49"/>
    <n v="324"/>
    <n v="4"/>
    <s v="2026-01"/>
  </r>
  <r>
    <s v="MS100897"/>
    <d v="2026-01-18T00:00:00"/>
    <x v="3"/>
    <s v="Makeup Organizer"/>
    <x v="0"/>
    <x v="9"/>
    <s v="Gujarat"/>
    <n v="3"/>
    <n v="349"/>
    <n v="25"/>
    <n v="262"/>
    <n v="786"/>
    <x v="0"/>
    <x v="0"/>
    <n v="55"/>
    <s v="No"/>
    <n v="54.72"/>
    <n v="354.7"/>
    <n v="321.58"/>
    <n v="262"/>
    <n v="3"/>
    <s v="2026-01"/>
  </r>
  <r>
    <s v="MS100898"/>
    <d v="2026-09-14T00:00:00"/>
    <x v="7"/>
    <s v="Leggings"/>
    <x v="3"/>
    <x v="3"/>
    <s v="West Bengal"/>
    <n v="2"/>
    <n v="299"/>
    <n v="40"/>
    <n v="179"/>
    <n v="358"/>
    <x v="3"/>
    <x v="1"/>
    <n v="55"/>
    <s v="No"/>
    <n v="23.7"/>
    <n v="160.5"/>
    <n v="118.8"/>
    <n v="179"/>
    <n v="38"/>
    <s v="2026-09"/>
  </r>
  <r>
    <s v="MS100899"/>
    <d v="2026-03-19T00:00:00"/>
    <x v="1"/>
    <s v="Kids Dress"/>
    <x v="1"/>
    <x v="5"/>
    <s v="Maharashtra"/>
    <n v="2"/>
    <n v="599"/>
    <n v="5"/>
    <n v="569"/>
    <n v="1138"/>
    <x v="0"/>
    <x v="1"/>
    <n v="65"/>
    <s v="No"/>
    <n v="73.22"/>
    <n v="588.45000000000005"/>
    <n v="411.33"/>
    <n v="569"/>
    <n v="12"/>
    <s v="2026-03"/>
  </r>
  <r>
    <s v="MS100900"/>
    <d v="2026-06-24T00:00:00"/>
    <x v="6"/>
    <s v="Leggings"/>
    <x v="3"/>
    <x v="8"/>
    <s v="Telangana"/>
    <n v="1"/>
    <n v="299"/>
    <n v="25"/>
    <n v="224"/>
    <n v="224"/>
    <x v="3"/>
    <x v="0"/>
    <n v="55"/>
    <s v="No"/>
    <n v="11.54"/>
    <n v="96.77"/>
    <n v="60.69"/>
    <n v="224"/>
    <n v="26"/>
    <s v="2026-06"/>
  </r>
  <r>
    <s v="MS100901"/>
    <d v="2026-07-13T00:00:00"/>
    <x v="2"/>
    <s v="Handbag"/>
    <x v="6"/>
    <x v="5"/>
    <s v="Maharashtra"/>
    <n v="1"/>
    <n v="549"/>
    <n v="40"/>
    <n v="329"/>
    <n v="329"/>
    <x v="0"/>
    <x v="1"/>
    <n v="55"/>
    <s v="No"/>
    <n v="17.18"/>
    <n v="163.88"/>
    <n v="92.94"/>
    <n v="329"/>
    <n v="29"/>
    <s v="2026-07"/>
  </r>
  <r>
    <s v="MS100902"/>
    <d v="2026-04-23T00:00:00"/>
    <x v="0"/>
    <s v="Kids Dress"/>
    <x v="1"/>
    <x v="7"/>
    <s v="Delhi"/>
    <n v="1"/>
    <n v="599"/>
    <n v="15"/>
    <n v="509"/>
    <n v="509"/>
    <x v="4"/>
    <x v="0"/>
    <n v="65"/>
    <s v="No"/>
    <n v="36.549999999999997"/>
    <n v="223.01"/>
    <n v="184.44"/>
    <n v="509"/>
    <n v="17"/>
    <s v="2026-04"/>
  </r>
  <r>
    <s v="MS100903"/>
    <d v="2026-04-24T00:00:00"/>
    <x v="0"/>
    <s v="Bedsheet"/>
    <x v="4"/>
    <x v="9"/>
    <s v="Gujarat"/>
    <n v="1"/>
    <n v="699"/>
    <n v="30"/>
    <n v="489"/>
    <n v="489"/>
    <x v="2"/>
    <x v="0"/>
    <n v="45"/>
    <s v="Yes"/>
    <n v="29.17"/>
    <n v="240.68"/>
    <n v="174.15"/>
    <n v="489"/>
    <n v="17"/>
    <s v="2026-04"/>
  </r>
  <r>
    <s v="MS100904"/>
    <d v="2026-08-10T00:00:00"/>
    <x v="5"/>
    <s v="Oxidised Jewellery Set"/>
    <x v="7"/>
    <x v="9"/>
    <s v="Gujarat"/>
    <n v="1"/>
    <n v="249"/>
    <n v="25"/>
    <n v="187"/>
    <n v="187"/>
    <x v="0"/>
    <x v="1"/>
    <n v="55"/>
    <s v="No"/>
    <n v="12.11"/>
    <n v="90.71"/>
    <n v="29.18"/>
    <n v="187"/>
    <n v="33"/>
    <s v="2026-08"/>
  </r>
  <r>
    <s v="MS100905"/>
    <d v="2026-06-15T00:00:00"/>
    <x v="6"/>
    <s v="Handbag"/>
    <x v="6"/>
    <x v="4"/>
    <s v="Rajasthan"/>
    <n v="1"/>
    <n v="549"/>
    <n v="35"/>
    <n v="357"/>
    <n v="357"/>
    <x v="2"/>
    <x v="1"/>
    <n v="35"/>
    <s v="Yes"/>
    <n v="24.71"/>
    <n v="151.38"/>
    <n v="145.91"/>
    <n v="357"/>
    <n v="25"/>
    <s v="2026-06"/>
  </r>
  <r>
    <s v="MS100906"/>
    <d v="2026-05-12T00:00:00"/>
    <x v="4"/>
    <s v="Oxidised Jewellery Set"/>
    <x v="7"/>
    <x v="3"/>
    <s v="West Bengal"/>
    <n v="1"/>
    <n v="249"/>
    <n v="15"/>
    <n v="212"/>
    <n v="212"/>
    <x v="0"/>
    <x v="0"/>
    <n v="65"/>
    <s v="No"/>
    <n v="9.75"/>
    <n v="94.15"/>
    <n v="43.1"/>
    <n v="212"/>
    <n v="20"/>
    <s v="2026-05"/>
  </r>
  <r>
    <s v="MS100907"/>
    <d v="2026-09-21T00:00:00"/>
    <x v="7"/>
    <s v="Makeup Organizer"/>
    <x v="0"/>
    <x v="5"/>
    <s v="Maharashtra"/>
    <n v="1"/>
    <n v="349"/>
    <n v="10"/>
    <n v="314"/>
    <n v="314"/>
    <x v="3"/>
    <x v="1"/>
    <n v="45"/>
    <s v="No"/>
    <n v="15.16"/>
    <n v="143.74"/>
    <n v="110.1"/>
    <n v="314"/>
    <n v="39"/>
    <s v="2026-09"/>
  </r>
  <r>
    <s v="MS100908"/>
    <d v="2026-02-24T00:00:00"/>
    <x v="8"/>
    <s v="Men's T-Shirt"/>
    <x v="2"/>
    <x v="6"/>
    <s v="Uttar Pradesh"/>
    <n v="1"/>
    <n v="449"/>
    <n v="25"/>
    <n v="337"/>
    <n v="337"/>
    <x v="0"/>
    <x v="0"/>
    <n v="35"/>
    <s v="No"/>
    <n v="26.11"/>
    <n v="154.25"/>
    <n v="121.64"/>
    <n v="337"/>
    <n v="9"/>
    <s v="2026-02"/>
  </r>
  <r>
    <s v="MS100909"/>
    <d v="2026-05-11T00:00:00"/>
    <x v="4"/>
    <s v="Women Kurti Set"/>
    <x v="3"/>
    <x v="2"/>
    <s v="Maharashtra"/>
    <n v="1"/>
    <n v="699"/>
    <n v="15"/>
    <n v="594"/>
    <n v="594"/>
    <x v="0"/>
    <x v="0"/>
    <n v="65"/>
    <s v="No"/>
    <n v="47.07"/>
    <n v="304.52"/>
    <n v="177.41"/>
    <n v="594"/>
    <n v="20"/>
    <s v="2026-05"/>
  </r>
  <r>
    <s v="MS100910"/>
    <d v="2026-09-23T00:00:00"/>
    <x v="7"/>
    <s v="Women's Slippers"/>
    <x v="5"/>
    <x v="2"/>
    <s v="Maharashtra"/>
    <n v="1"/>
    <n v="299"/>
    <n v="10"/>
    <n v="269"/>
    <n v="269"/>
    <x v="3"/>
    <x v="0"/>
    <n v="55"/>
    <s v="No"/>
    <n v="13.94"/>
    <n v="132.71"/>
    <n v="67.349999999999994"/>
    <n v="269"/>
    <n v="39"/>
    <s v="2026-09"/>
  </r>
  <r>
    <s v="MS100911"/>
    <d v="2026-06-11T00:00:00"/>
    <x v="6"/>
    <s v="Leggings"/>
    <x v="3"/>
    <x v="0"/>
    <s v="Maharashtra"/>
    <n v="1"/>
    <n v="299"/>
    <n v="35"/>
    <n v="194"/>
    <n v="194"/>
    <x v="0"/>
    <x v="0"/>
    <n v="55"/>
    <s v="No"/>
    <n v="12.27"/>
    <n v="100.4"/>
    <n v="26.33"/>
    <n v="194"/>
    <n v="24"/>
    <s v="2026-06"/>
  </r>
  <r>
    <s v="MS100912"/>
    <d v="2026-03-28T00:00:00"/>
    <x v="1"/>
    <s v="Kids Dress"/>
    <x v="1"/>
    <x v="9"/>
    <s v="Gujarat"/>
    <n v="1"/>
    <n v="599"/>
    <n v="15"/>
    <n v="509"/>
    <n v="509"/>
    <x v="0"/>
    <x v="1"/>
    <n v="35"/>
    <s v="No"/>
    <n v="32.380000000000003"/>
    <n v="218.71"/>
    <n v="222.91"/>
    <n v="509"/>
    <n v="13"/>
    <s v="2026-03"/>
  </r>
  <r>
    <s v="MS100913"/>
    <d v="2026-02-24T00:00:00"/>
    <x v="8"/>
    <s v="Kids Dress"/>
    <x v="1"/>
    <x v="8"/>
    <s v="Telangana"/>
    <n v="1"/>
    <n v="599"/>
    <n v="5"/>
    <n v="569"/>
    <n v="569"/>
    <x v="0"/>
    <x v="1"/>
    <n v="45"/>
    <s v="No"/>
    <n v="38.18"/>
    <n v="240.37"/>
    <n v="245.45"/>
    <n v="569"/>
    <n v="9"/>
    <s v="2026-02"/>
  </r>
  <r>
    <s v="MS100914"/>
    <d v="2026-06-27T00:00:00"/>
    <x v="6"/>
    <s v="Leggings"/>
    <x v="3"/>
    <x v="8"/>
    <s v="Telangana"/>
    <n v="1"/>
    <n v="299"/>
    <n v="25"/>
    <n v="224"/>
    <n v="224"/>
    <x v="0"/>
    <x v="0"/>
    <n v="55"/>
    <s v="No"/>
    <n v="16.11"/>
    <n v="114.72"/>
    <n v="38.17"/>
    <n v="224"/>
    <n v="26"/>
    <s v="2026-06"/>
  </r>
  <r>
    <s v="MS100915"/>
    <d v="2026-01-08T00:00:00"/>
    <x v="3"/>
    <s v="Printed Saree"/>
    <x v="3"/>
    <x v="5"/>
    <s v="Maharashtra"/>
    <n v="1"/>
    <n v="899"/>
    <n v="20"/>
    <n v="719"/>
    <n v="719"/>
    <x v="1"/>
    <x v="1"/>
    <n v="65"/>
    <s v="No"/>
    <n v="33.96"/>
    <n v="311.33"/>
    <n v="308.70999999999998"/>
    <n v="719"/>
    <n v="2"/>
    <s v="2026-01"/>
  </r>
  <r>
    <s v="MS100916"/>
    <d v="2026-09-04T00:00:00"/>
    <x v="7"/>
    <s v="Women's Top"/>
    <x v="3"/>
    <x v="6"/>
    <s v="Uttar Pradesh"/>
    <n v="1"/>
    <n v="399"/>
    <n v="20"/>
    <n v="319"/>
    <n v="319"/>
    <x v="4"/>
    <x v="0"/>
    <n v="55"/>
    <s v="No"/>
    <n v="23.18"/>
    <n v="134.41999999999999"/>
    <n v="106.4"/>
    <n v="319"/>
    <n v="36"/>
    <s v="2026-09"/>
  </r>
  <r>
    <s v="MS100917"/>
    <d v="2026-09-12T00:00:00"/>
    <x v="7"/>
    <s v="Bedsheet"/>
    <x v="4"/>
    <x v="8"/>
    <s v="Telangana"/>
    <n v="1"/>
    <n v="699"/>
    <n v="25"/>
    <n v="524"/>
    <n v="524"/>
    <x v="0"/>
    <x v="0"/>
    <n v="45"/>
    <s v="No"/>
    <n v="31.33"/>
    <n v="227.09"/>
    <n v="220.58"/>
    <n v="524"/>
    <n v="37"/>
    <s v="2026-09"/>
  </r>
  <r>
    <s v="MS100918"/>
    <d v="2026-02-23T00:00:00"/>
    <x v="8"/>
    <s v="Bedsheet"/>
    <x v="4"/>
    <x v="5"/>
    <s v="Maharashtra"/>
    <n v="1"/>
    <n v="699"/>
    <n v="20"/>
    <n v="559"/>
    <n v="559"/>
    <x v="0"/>
    <x v="1"/>
    <n v="35"/>
    <s v="No"/>
    <n v="26.37"/>
    <n v="247.4"/>
    <n v="250.23"/>
    <n v="559"/>
    <n v="9"/>
    <s v="2026-02"/>
  </r>
  <r>
    <s v="MS100919"/>
    <d v="2026-09-06T00:00:00"/>
    <x v="7"/>
    <s v="Handbag"/>
    <x v="6"/>
    <x v="4"/>
    <s v="Rajasthan"/>
    <n v="2"/>
    <n v="549"/>
    <n v="30"/>
    <n v="384"/>
    <n v="768"/>
    <x v="0"/>
    <x v="1"/>
    <n v="35"/>
    <s v="No"/>
    <n v="31.27"/>
    <n v="328.28"/>
    <n v="373.45"/>
    <n v="384"/>
    <n v="36"/>
    <s v="2026-09"/>
  </r>
  <r>
    <s v="MS100920"/>
    <d v="2026-08-27T00:00:00"/>
    <x v="5"/>
    <s v="Makeup Organizer"/>
    <x v="0"/>
    <x v="1"/>
    <s v="Karnataka"/>
    <n v="1"/>
    <n v="349"/>
    <n v="10"/>
    <n v="314"/>
    <n v="314"/>
    <x v="0"/>
    <x v="0"/>
    <n v="35"/>
    <s v="No"/>
    <n v="23.06"/>
    <n v="157.94999999999999"/>
    <n v="97.99"/>
    <n v="314"/>
    <n v="35"/>
    <s v="2026-08"/>
  </r>
  <r>
    <s v="MS100921"/>
    <d v="2026-08-17T00:00:00"/>
    <x v="5"/>
    <s v="Leggings"/>
    <x v="3"/>
    <x v="0"/>
    <s v="Maharashtra"/>
    <n v="1"/>
    <n v="299"/>
    <n v="5"/>
    <n v="284"/>
    <n v="284"/>
    <x v="0"/>
    <x v="1"/>
    <n v="45"/>
    <s v="No"/>
    <n v="19.41"/>
    <n v="125.38"/>
    <n v="94.21"/>
    <n v="284"/>
    <n v="34"/>
    <s v="2026-08"/>
  </r>
  <r>
    <s v="MS100922"/>
    <d v="2026-03-08T00:00:00"/>
    <x v="1"/>
    <s v="Women's Slippers"/>
    <x v="5"/>
    <x v="9"/>
    <s v="Gujarat"/>
    <n v="1"/>
    <n v="299"/>
    <n v="15"/>
    <n v="254"/>
    <n v="254"/>
    <x v="0"/>
    <x v="0"/>
    <n v="55"/>
    <s v="No"/>
    <n v="16.420000000000002"/>
    <n v="131.72"/>
    <n v="50.86"/>
    <n v="254"/>
    <n v="10"/>
    <s v="2026-03"/>
  </r>
  <r>
    <s v="MS100923"/>
    <d v="2026-02-20T00:00:00"/>
    <x v="8"/>
    <s v="Makeup Organizer"/>
    <x v="0"/>
    <x v="0"/>
    <s v="Maharashtra"/>
    <n v="2"/>
    <n v="349"/>
    <n v="35"/>
    <n v="227"/>
    <n v="454"/>
    <x v="0"/>
    <x v="1"/>
    <n v="35"/>
    <s v="No"/>
    <n v="31.72"/>
    <n v="229.62"/>
    <n v="157.66"/>
    <n v="227"/>
    <n v="8"/>
    <s v="2026-02"/>
  </r>
  <r>
    <s v="MS100924"/>
    <d v="2026-04-07T00:00:00"/>
    <x v="0"/>
    <s v="Oxidised Jewellery Set"/>
    <x v="7"/>
    <x v="3"/>
    <s v="West Bengal"/>
    <n v="1"/>
    <n v="249"/>
    <n v="15"/>
    <n v="212"/>
    <n v="212"/>
    <x v="0"/>
    <x v="0"/>
    <n v="45"/>
    <s v="No"/>
    <n v="10.27"/>
    <n v="103.3"/>
    <n v="53.43"/>
    <n v="212"/>
    <n v="15"/>
    <s v="2026-04"/>
  </r>
  <r>
    <s v="MS100925"/>
    <d v="2026-04-02T00:00:00"/>
    <x v="0"/>
    <s v="Women's Top"/>
    <x v="3"/>
    <x v="1"/>
    <s v="Karnataka"/>
    <n v="2"/>
    <n v="399"/>
    <n v="10"/>
    <n v="359"/>
    <n v="718"/>
    <x v="0"/>
    <x v="0"/>
    <n v="35"/>
    <s v="No"/>
    <n v="51.78"/>
    <n v="332.56"/>
    <n v="298.66000000000003"/>
    <n v="359"/>
    <n v="14"/>
    <s v="2026-04"/>
  </r>
  <r>
    <s v="MS100926"/>
    <d v="2026-09-21T00:00:00"/>
    <x v="7"/>
    <s v="Bedsheet"/>
    <x v="4"/>
    <x v="6"/>
    <s v="Uttar Pradesh"/>
    <n v="1"/>
    <n v="699"/>
    <n v="15"/>
    <n v="594"/>
    <n v="594"/>
    <x v="0"/>
    <x v="1"/>
    <n v="45"/>
    <s v="No"/>
    <n v="43.28"/>
    <n v="282.42"/>
    <n v="223.3"/>
    <n v="594"/>
    <n v="39"/>
    <s v="2026-09"/>
  </r>
  <r>
    <s v="MS100927"/>
    <d v="2026-04-06T00:00:00"/>
    <x v="0"/>
    <s v="Oxidised Jewellery Set"/>
    <x v="7"/>
    <x v="5"/>
    <s v="Maharashtra"/>
    <n v="3"/>
    <n v="249"/>
    <n v="30"/>
    <n v="174"/>
    <n v="522"/>
    <x v="1"/>
    <x v="1"/>
    <n v="65"/>
    <s v="No"/>
    <n v="39.090000000000003"/>
    <n v="224.36"/>
    <n v="193.55"/>
    <n v="174"/>
    <n v="15"/>
    <s v="2026-04"/>
  </r>
  <r>
    <s v="MS100928"/>
    <d v="2026-03-29T00:00:00"/>
    <x v="1"/>
    <s v="Kids Dress"/>
    <x v="1"/>
    <x v="1"/>
    <s v="Karnataka"/>
    <n v="2"/>
    <n v="599"/>
    <n v="20"/>
    <n v="479"/>
    <n v="958"/>
    <x v="0"/>
    <x v="1"/>
    <n v="45"/>
    <s v="No"/>
    <n v="51.66"/>
    <n v="487.83"/>
    <n v="373.51"/>
    <n v="479"/>
    <n v="13"/>
    <s v="2026-03"/>
  </r>
  <r>
    <s v="MS100929"/>
    <d v="2026-03-19T00:00:00"/>
    <x v="1"/>
    <s v="Kids Dress"/>
    <x v="1"/>
    <x v="3"/>
    <s v="West Bengal"/>
    <n v="3"/>
    <n v="599"/>
    <n v="30"/>
    <n v="419"/>
    <n v="1257"/>
    <x v="0"/>
    <x v="0"/>
    <n v="65"/>
    <s v="No"/>
    <n v="73.08"/>
    <n v="592.94000000000005"/>
    <n v="525.98"/>
    <n v="419"/>
    <n v="12"/>
    <s v="2026-03"/>
  </r>
  <r>
    <s v="MS100930"/>
    <d v="2026-04-30T00:00:00"/>
    <x v="0"/>
    <s v="Leggings"/>
    <x v="3"/>
    <x v="3"/>
    <s v="West Bengal"/>
    <n v="2"/>
    <n v="299"/>
    <n v="25"/>
    <n v="224"/>
    <n v="448"/>
    <x v="0"/>
    <x v="0"/>
    <n v="35"/>
    <s v="No"/>
    <n v="26.45"/>
    <n v="219.04"/>
    <n v="167.51"/>
    <n v="224"/>
    <n v="18"/>
    <s v="2026-04"/>
  </r>
  <r>
    <s v="MS100931"/>
    <d v="2026-06-14T00:00:00"/>
    <x v="6"/>
    <s v="Printed Saree"/>
    <x v="3"/>
    <x v="7"/>
    <s v="Delhi"/>
    <n v="1"/>
    <n v="899"/>
    <n v="15"/>
    <n v="764"/>
    <n v="764"/>
    <x v="0"/>
    <x v="1"/>
    <n v="65"/>
    <s v="No"/>
    <n v="48.15"/>
    <n v="353.23"/>
    <n v="297.62"/>
    <n v="764"/>
    <n v="24"/>
    <s v="2026-06"/>
  </r>
  <r>
    <s v="MS100932"/>
    <d v="2026-07-01T00:00:00"/>
    <x v="2"/>
    <s v="Men's T-Shirt"/>
    <x v="2"/>
    <x v="7"/>
    <s v="Delhi"/>
    <n v="1"/>
    <n v="449"/>
    <n v="30"/>
    <n v="314"/>
    <n v="314"/>
    <x v="0"/>
    <x v="0"/>
    <n v="45"/>
    <s v="No"/>
    <n v="24.81"/>
    <n v="142.34"/>
    <n v="101.85"/>
    <n v="314"/>
    <n v="27"/>
    <s v="2026-07"/>
  </r>
  <r>
    <s v="MS100933"/>
    <d v="2026-08-11T00:00:00"/>
    <x v="5"/>
    <s v="Handbag"/>
    <x v="6"/>
    <x v="4"/>
    <s v="Rajasthan"/>
    <n v="2"/>
    <n v="549"/>
    <n v="40"/>
    <n v="329"/>
    <n v="658"/>
    <x v="3"/>
    <x v="0"/>
    <n v="55"/>
    <s v="No"/>
    <n v="47.06"/>
    <n v="322.69"/>
    <n v="233.25"/>
    <n v="329"/>
    <n v="33"/>
    <s v="2026-08"/>
  </r>
  <r>
    <s v="MS100934"/>
    <d v="2026-01-07T00:00:00"/>
    <x v="3"/>
    <s v="Kids Dress"/>
    <x v="1"/>
    <x v="6"/>
    <s v="Uttar Pradesh"/>
    <n v="2"/>
    <n v="599"/>
    <n v="20"/>
    <n v="479"/>
    <n v="958"/>
    <x v="0"/>
    <x v="1"/>
    <n v="55"/>
    <s v="No"/>
    <n v="60.67"/>
    <n v="453.94"/>
    <n v="388.39"/>
    <n v="479"/>
    <n v="2"/>
    <s v="2026-01"/>
  </r>
  <r>
    <s v="MS100935"/>
    <d v="2026-09-20T00:00:00"/>
    <x v="7"/>
    <s v="Bedsheet"/>
    <x v="4"/>
    <x v="9"/>
    <s v="Gujarat"/>
    <n v="1"/>
    <n v="699"/>
    <n v="15"/>
    <n v="594"/>
    <n v="594"/>
    <x v="0"/>
    <x v="0"/>
    <n v="45"/>
    <s v="No"/>
    <n v="36.19"/>
    <n v="269.92"/>
    <n v="242.89"/>
    <n v="594"/>
    <n v="38"/>
    <s v="2026-09"/>
  </r>
  <r>
    <s v="MS100936"/>
    <d v="2026-06-10T00:00:00"/>
    <x v="6"/>
    <s v="Handbag"/>
    <x v="6"/>
    <x v="4"/>
    <s v="Rajasthan"/>
    <n v="2"/>
    <n v="549"/>
    <n v="40"/>
    <n v="329"/>
    <n v="658"/>
    <x v="4"/>
    <x v="1"/>
    <n v="65"/>
    <s v="No"/>
    <n v="41.34"/>
    <n v="326.41000000000003"/>
    <n v="225.25"/>
    <n v="329"/>
    <n v="24"/>
    <s v="2026-06"/>
  </r>
  <r>
    <s v="MS100937"/>
    <d v="2026-05-31T00:00:00"/>
    <x v="4"/>
    <s v="Women's Top"/>
    <x v="3"/>
    <x v="1"/>
    <s v="Karnataka"/>
    <n v="1"/>
    <n v="399"/>
    <n v="15"/>
    <n v="339"/>
    <n v="339"/>
    <x v="0"/>
    <x v="0"/>
    <n v="55"/>
    <s v="No"/>
    <n v="24.18"/>
    <n v="151.47999999999999"/>
    <n v="108.34"/>
    <n v="339"/>
    <n v="22"/>
    <s v="2026-05"/>
  </r>
  <r>
    <s v="MS100938"/>
    <d v="2026-03-26T00:00:00"/>
    <x v="1"/>
    <s v="Women Kurti Set"/>
    <x v="3"/>
    <x v="9"/>
    <s v="Gujarat"/>
    <n v="1"/>
    <n v="699"/>
    <n v="10"/>
    <n v="629"/>
    <n v="629"/>
    <x v="1"/>
    <x v="1"/>
    <n v="65"/>
    <s v="No"/>
    <n v="35.729999999999997"/>
    <n v="276.25"/>
    <n v="252.02"/>
    <n v="629"/>
    <n v="13"/>
    <s v="2026-03"/>
  </r>
  <r>
    <s v="MS100939"/>
    <d v="2026-05-27T00:00:00"/>
    <x v="4"/>
    <s v="Kids Dress"/>
    <x v="1"/>
    <x v="1"/>
    <s v="Karnataka"/>
    <n v="1"/>
    <n v="599"/>
    <n v="15"/>
    <n v="509"/>
    <n v="509"/>
    <x v="0"/>
    <x v="0"/>
    <n v="35"/>
    <s v="No"/>
    <n v="31.41"/>
    <n v="227.02"/>
    <n v="215.57"/>
    <n v="509"/>
    <n v="22"/>
    <s v="2026-05"/>
  </r>
  <r>
    <s v="MS100940"/>
    <d v="2026-04-22T00:00:00"/>
    <x v="0"/>
    <s v="Women Kurti Set"/>
    <x v="3"/>
    <x v="6"/>
    <s v="Uttar Pradesh"/>
    <n v="1"/>
    <n v="699"/>
    <n v="15"/>
    <n v="594"/>
    <n v="594"/>
    <x v="0"/>
    <x v="1"/>
    <n v="55"/>
    <s v="No"/>
    <n v="26.49"/>
    <n v="290.75"/>
    <n v="221.76"/>
    <n v="594"/>
    <n v="17"/>
    <s v="2026-04"/>
  </r>
  <r>
    <s v="MS100941"/>
    <d v="2026-02-05T00:00:00"/>
    <x v="8"/>
    <s v="Kitchen Storage Set"/>
    <x v="4"/>
    <x v="6"/>
    <s v="Uttar Pradesh"/>
    <n v="1"/>
    <n v="499"/>
    <n v="25"/>
    <n v="374"/>
    <n v="374"/>
    <x v="0"/>
    <x v="0"/>
    <n v="35"/>
    <s v="No"/>
    <n v="18.010000000000002"/>
    <n v="184.86"/>
    <n v="136.13"/>
    <n v="374"/>
    <n v="6"/>
    <s v="2026-02"/>
  </r>
  <r>
    <s v="MS100942"/>
    <d v="2026-07-07T00:00:00"/>
    <x v="2"/>
    <s v="Men's T-Shirt"/>
    <x v="2"/>
    <x v="2"/>
    <s v="Maharashtra"/>
    <n v="1"/>
    <n v="449"/>
    <n v="25"/>
    <n v="337"/>
    <n v="337"/>
    <x v="2"/>
    <x v="1"/>
    <n v="35"/>
    <s v="Yes"/>
    <n v="19.37"/>
    <n v="159.07"/>
    <n v="123.56"/>
    <n v="337"/>
    <n v="28"/>
    <s v="2026-07"/>
  </r>
  <r>
    <s v="MS100943"/>
    <d v="2026-03-23T00:00:00"/>
    <x v="1"/>
    <s v="Leggings"/>
    <x v="3"/>
    <x v="4"/>
    <s v="Rajasthan"/>
    <n v="1"/>
    <n v="299"/>
    <n v="15"/>
    <n v="254"/>
    <n v="254"/>
    <x v="0"/>
    <x v="0"/>
    <n v="35"/>
    <s v="No"/>
    <n v="19.38"/>
    <n v="125"/>
    <n v="74.62"/>
    <n v="254"/>
    <n v="13"/>
    <s v="2026-03"/>
  </r>
  <r>
    <s v="MS100944"/>
    <d v="2026-01-02T00:00:00"/>
    <x v="3"/>
    <s v="Leggings"/>
    <x v="3"/>
    <x v="2"/>
    <s v="Maharashtra"/>
    <n v="2"/>
    <n v="299"/>
    <n v="10"/>
    <n v="269"/>
    <n v="538"/>
    <x v="0"/>
    <x v="0"/>
    <n v="35"/>
    <s v="No"/>
    <n v="26.86"/>
    <n v="275.88"/>
    <n v="200.26"/>
    <n v="269"/>
    <n v="1"/>
    <s v="2026-01"/>
  </r>
  <r>
    <s v="MS100945"/>
    <d v="2026-07-16T00:00:00"/>
    <x v="2"/>
    <s v="Kids Dress"/>
    <x v="1"/>
    <x v="8"/>
    <s v="Telangana"/>
    <n v="1"/>
    <n v="599"/>
    <n v="20"/>
    <n v="479"/>
    <n v="479"/>
    <x v="0"/>
    <x v="0"/>
    <n v="65"/>
    <s v="No"/>
    <n v="20.82"/>
    <n v="239.46"/>
    <n v="153.72"/>
    <n v="479"/>
    <n v="29"/>
    <s v="2026-07"/>
  </r>
  <r>
    <s v="MS100946"/>
    <d v="2026-01-11T00:00:00"/>
    <x v="3"/>
    <s v="Women's Top"/>
    <x v="3"/>
    <x v="2"/>
    <s v="Maharashtra"/>
    <n v="3"/>
    <n v="399"/>
    <n v="40"/>
    <n v="239"/>
    <n v="717"/>
    <x v="0"/>
    <x v="1"/>
    <n v="55"/>
    <s v="No"/>
    <n v="29.32"/>
    <n v="363.46"/>
    <n v="269.22000000000003"/>
    <n v="239"/>
    <n v="2"/>
    <s v="2026-01"/>
  </r>
  <r>
    <s v="MS100947"/>
    <d v="2026-08-22T00:00:00"/>
    <x v="5"/>
    <s v="Leggings"/>
    <x v="3"/>
    <x v="5"/>
    <s v="Maharashtra"/>
    <n v="1"/>
    <n v="299"/>
    <n v="25"/>
    <n v="224"/>
    <n v="224"/>
    <x v="3"/>
    <x v="1"/>
    <n v="35"/>
    <s v="No"/>
    <n v="14.3"/>
    <n v="114.6"/>
    <n v="60.1"/>
    <n v="224"/>
    <n v="34"/>
    <s v="2026-08"/>
  </r>
  <r>
    <s v="MS100948"/>
    <d v="2026-07-14T00:00:00"/>
    <x v="2"/>
    <s v="Women's Top"/>
    <x v="3"/>
    <x v="7"/>
    <s v="Delhi"/>
    <n v="1"/>
    <n v="399"/>
    <n v="25"/>
    <n v="299"/>
    <n v="299"/>
    <x v="3"/>
    <x v="1"/>
    <n v="35"/>
    <s v="No"/>
    <n v="13.74"/>
    <n v="137.96"/>
    <n v="112.3"/>
    <n v="299"/>
    <n v="29"/>
    <s v="2026-07"/>
  </r>
  <r>
    <s v="MS100949"/>
    <d v="2026-04-29T00:00:00"/>
    <x v="0"/>
    <s v="Handbag"/>
    <x v="6"/>
    <x v="1"/>
    <s v="Karnataka"/>
    <n v="1"/>
    <n v="549"/>
    <n v="10"/>
    <n v="494"/>
    <n v="494"/>
    <x v="0"/>
    <x v="1"/>
    <n v="55"/>
    <s v="No"/>
    <n v="22.86"/>
    <n v="228.54"/>
    <n v="187.6"/>
    <n v="494"/>
    <n v="18"/>
    <s v="2026-04"/>
  </r>
  <r>
    <s v="MS100950"/>
    <d v="2026-01-20T00:00:00"/>
    <x v="3"/>
    <s v="Men's T-Shirt"/>
    <x v="2"/>
    <x v="3"/>
    <s v="West Bengal"/>
    <n v="1"/>
    <n v="449"/>
    <n v="20"/>
    <n v="359"/>
    <n v="359"/>
    <x v="0"/>
    <x v="1"/>
    <n v="35"/>
    <s v="No"/>
    <n v="27.42"/>
    <n v="151.43"/>
    <n v="145.15"/>
    <n v="359"/>
    <n v="4"/>
    <s v="2026-01"/>
  </r>
  <r>
    <s v="MS100951"/>
    <d v="2026-09-18T00:00:00"/>
    <x v="7"/>
    <s v="Kitchen Storage Set"/>
    <x v="4"/>
    <x v="8"/>
    <s v="Telangana"/>
    <n v="1"/>
    <n v="499"/>
    <n v="15"/>
    <n v="424"/>
    <n v="424"/>
    <x v="0"/>
    <x v="0"/>
    <n v="65"/>
    <s v="No"/>
    <n v="33.17"/>
    <n v="209.21"/>
    <n v="116.62"/>
    <n v="424"/>
    <n v="38"/>
    <s v="2026-09"/>
  </r>
  <r>
    <s v="MS100952"/>
    <d v="2026-09-13T00:00:00"/>
    <x v="7"/>
    <s v="Bedsheet"/>
    <x v="4"/>
    <x v="8"/>
    <s v="Telangana"/>
    <n v="1"/>
    <n v="699"/>
    <n v="35"/>
    <n v="454"/>
    <n v="454"/>
    <x v="0"/>
    <x v="1"/>
    <n v="65"/>
    <s v="No"/>
    <n v="27.49"/>
    <n v="227.14"/>
    <n v="134.37"/>
    <n v="454"/>
    <n v="37"/>
    <s v="2026-09"/>
  </r>
  <r>
    <s v="MS100953"/>
    <d v="2026-08-10T00:00:00"/>
    <x v="5"/>
    <s v="Women's Slippers"/>
    <x v="5"/>
    <x v="2"/>
    <s v="Maharashtra"/>
    <n v="1"/>
    <n v="299"/>
    <n v="20"/>
    <n v="239"/>
    <n v="239"/>
    <x v="3"/>
    <x v="1"/>
    <n v="55"/>
    <s v="No"/>
    <n v="12.97"/>
    <n v="107.27"/>
    <n v="63.76"/>
    <n v="239"/>
    <n v="33"/>
    <s v="2026-08"/>
  </r>
  <r>
    <s v="MS100954"/>
    <d v="2026-08-14T00:00:00"/>
    <x v="5"/>
    <s v="Kitchen Storage Set"/>
    <x v="4"/>
    <x v="8"/>
    <s v="Telangana"/>
    <n v="1"/>
    <n v="499"/>
    <n v="40"/>
    <n v="299"/>
    <n v="299"/>
    <x v="3"/>
    <x v="0"/>
    <n v="65"/>
    <s v="No"/>
    <n v="17.760000000000002"/>
    <n v="141.79"/>
    <n v="74.45"/>
    <n v="299"/>
    <n v="33"/>
    <s v="2026-08"/>
  </r>
  <r>
    <s v="MS100955"/>
    <d v="2026-02-22T00:00:00"/>
    <x v="8"/>
    <s v="Women's Top"/>
    <x v="3"/>
    <x v="8"/>
    <s v="Telangana"/>
    <n v="1"/>
    <n v="399"/>
    <n v="15"/>
    <n v="339"/>
    <n v="339"/>
    <x v="0"/>
    <x v="1"/>
    <n v="45"/>
    <s v="No"/>
    <n v="15.93"/>
    <n v="149.11000000000001"/>
    <n v="128.96"/>
    <n v="339"/>
    <n v="8"/>
    <s v="2026-02"/>
  </r>
  <r>
    <s v="MS100956"/>
    <d v="2026-03-22T00:00:00"/>
    <x v="1"/>
    <s v="Printed Saree"/>
    <x v="3"/>
    <x v="8"/>
    <s v="Telangana"/>
    <n v="1"/>
    <n v="899"/>
    <n v="15"/>
    <n v="764"/>
    <n v="764"/>
    <x v="3"/>
    <x v="0"/>
    <n v="35"/>
    <s v="No"/>
    <n v="32.44"/>
    <n v="341.51"/>
    <n v="355.05"/>
    <n v="764"/>
    <n v="12"/>
    <s v="2026-03"/>
  </r>
  <r>
    <s v="MS100957"/>
    <d v="2026-07-21T00:00:00"/>
    <x v="2"/>
    <s v="Kitchen Storage Set"/>
    <x v="4"/>
    <x v="1"/>
    <s v="Karnataka"/>
    <n v="1"/>
    <n v="499"/>
    <n v="20"/>
    <n v="399"/>
    <n v="399"/>
    <x v="0"/>
    <x v="1"/>
    <n v="55"/>
    <s v="No"/>
    <n v="28.34"/>
    <n v="199.4"/>
    <n v="116.26"/>
    <n v="399"/>
    <n v="30"/>
    <s v="2026-07"/>
  </r>
  <r>
    <s v="MS100958"/>
    <d v="2026-06-07T00:00:00"/>
    <x v="6"/>
    <s v="Handbag"/>
    <x v="6"/>
    <x v="7"/>
    <s v="Delhi"/>
    <n v="1"/>
    <n v="549"/>
    <n v="30"/>
    <n v="384"/>
    <n v="384"/>
    <x v="0"/>
    <x v="1"/>
    <n v="35"/>
    <s v="No"/>
    <n v="26.73"/>
    <n v="182.13"/>
    <n v="140.13999999999999"/>
    <n v="384"/>
    <n v="23"/>
    <s v="2026-06"/>
  </r>
  <r>
    <s v="MS100959"/>
    <d v="2026-04-30T00:00:00"/>
    <x v="0"/>
    <s v="Kitchen Storage Set"/>
    <x v="4"/>
    <x v="2"/>
    <s v="Maharashtra"/>
    <n v="1"/>
    <n v="499"/>
    <n v="25"/>
    <n v="374"/>
    <n v="374"/>
    <x v="0"/>
    <x v="0"/>
    <n v="55"/>
    <s v="No"/>
    <n v="26.22"/>
    <n v="187.87"/>
    <n v="104.91"/>
    <n v="374"/>
    <n v="18"/>
    <s v="2026-04"/>
  </r>
  <r>
    <s v="MS100960"/>
    <d v="2026-02-28T00:00:00"/>
    <x v="8"/>
    <s v="Kitchen Storage Set"/>
    <x v="4"/>
    <x v="9"/>
    <s v="Gujarat"/>
    <n v="1"/>
    <n v="499"/>
    <n v="15"/>
    <n v="424"/>
    <n v="424"/>
    <x v="3"/>
    <x v="1"/>
    <n v="65"/>
    <s v="No"/>
    <n v="23.23"/>
    <n v="192.04"/>
    <n v="143.72999999999999"/>
    <n v="424"/>
    <n v="9"/>
    <s v="2026-02"/>
  </r>
  <r>
    <s v="MS100961"/>
    <d v="2026-08-03T00:00:00"/>
    <x v="5"/>
    <s v="Printed Saree"/>
    <x v="3"/>
    <x v="5"/>
    <s v="Maharashtra"/>
    <n v="2"/>
    <n v="899"/>
    <n v="20"/>
    <n v="719"/>
    <n v="1438"/>
    <x v="2"/>
    <x v="1"/>
    <n v="45"/>
    <s v="Yes"/>
    <n v="63.14"/>
    <n v="606.12"/>
    <n v="723.74"/>
    <n v="719"/>
    <n v="32"/>
    <s v="2026-08"/>
  </r>
  <r>
    <s v="MS100962"/>
    <d v="2026-05-08T00:00:00"/>
    <x v="4"/>
    <s v="Women Kurti Set"/>
    <x v="3"/>
    <x v="3"/>
    <s v="West Bengal"/>
    <n v="3"/>
    <n v="699"/>
    <n v="25"/>
    <n v="524"/>
    <n v="1572"/>
    <x v="1"/>
    <x v="1"/>
    <n v="65"/>
    <s v="No"/>
    <n v="80.3"/>
    <n v="795.8"/>
    <n v="630.9"/>
    <n v="524"/>
    <n v="19"/>
    <s v="2026-05"/>
  </r>
  <r>
    <s v="MS100963"/>
    <d v="2026-08-12T00:00:00"/>
    <x v="5"/>
    <s v="Handbag"/>
    <x v="6"/>
    <x v="9"/>
    <s v="Gujarat"/>
    <n v="1"/>
    <n v="549"/>
    <n v="15"/>
    <n v="467"/>
    <n v="467"/>
    <x v="0"/>
    <x v="1"/>
    <n v="65"/>
    <s v="No"/>
    <n v="36.96"/>
    <n v="233.97"/>
    <n v="131.07"/>
    <n v="467"/>
    <n v="33"/>
    <s v="2026-08"/>
  </r>
  <r>
    <s v="MS100964"/>
    <d v="2026-07-28T00:00:00"/>
    <x v="2"/>
    <s v="Handbag"/>
    <x v="6"/>
    <x v="5"/>
    <s v="Maharashtra"/>
    <n v="1"/>
    <n v="549"/>
    <n v="35"/>
    <n v="357"/>
    <n v="357"/>
    <x v="0"/>
    <x v="1"/>
    <n v="65"/>
    <s v="No"/>
    <n v="20.350000000000001"/>
    <n v="159.77000000000001"/>
    <n v="111.88"/>
    <n v="357"/>
    <n v="31"/>
    <s v="2026-07"/>
  </r>
  <r>
    <s v="MS100965"/>
    <d v="2026-04-25T00:00:00"/>
    <x v="0"/>
    <s v="Kitchen Storage Set"/>
    <x v="4"/>
    <x v="2"/>
    <s v="Maharashtra"/>
    <n v="1"/>
    <n v="499"/>
    <n v="20"/>
    <n v="399"/>
    <n v="399"/>
    <x v="0"/>
    <x v="0"/>
    <n v="65"/>
    <s v="No"/>
    <n v="22.47"/>
    <n v="193.56"/>
    <n v="117.97"/>
    <n v="399"/>
    <n v="17"/>
    <s v="2026-04"/>
  </r>
  <r>
    <s v="MS100966"/>
    <d v="2026-07-28T00:00:00"/>
    <x v="2"/>
    <s v="Makeup Organizer"/>
    <x v="0"/>
    <x v="0"/>
    <s v="Maharashtra"/>
    <n v="1"/>
    <n v="349"/>
    <n v="20"/>
    <n v="279"/>
    <n v="279"/>
    <x v="0"/>
    <x v="1"/>
    <n v="55"/>
    <s v="No"/>
    <n v="15.57"/>
    <n v="143.78"/>
    <n v="64.650000000000006"/>
    <n v="279"/>
    <n v="31"/>
    <s v="2026-07"/>
  </r>
  <r>
    <s v="MS100967"/>
    <d v="2026-01-14T00:00:00"/>
    <x v="3"/>
    <s v="Handbag"/>
    <x v="6"/>
    <x v="9"/>
    <s v="Gujarat"/>
    <n v="1"/>
    <n v="549"/>
    <n v="35"/>
    <n v="357"/>
    <n v="357"/>
    <x v="2"/>
    <x v="1"/>
    <n v="45"/>
    <s v="Yes"/>
    <n v="22.26"/>
    <n v="175.18"/>
    <n v="114.56"/>
    <n v="357"/>
    <n v="3"/>
    <s v="2026-01"/>
  </r>
  <r>
    <s v="MS100968"/>
    <d v="2026-01-09T00:00:00"/>
    <x v="3"/>
    <s v="Oxidised Jewellery Set"/>
    <x v="7"/>
    <x v="0"/>
    <s v="Maharashtra"/>
    <n v="2"/>
    <n v="249"/>
    <n v="40"/>
    <n v="149"/>
    <n v="298"/>
    <x v="0"/>
    <x v="1"/>
    <n v="65"/>
    <s v="No"/>
    <n v="18.43"/>
    <n v="126.18"/>
    <n v="88.39"/>
    <n v="149"/>
    <n v="2"/>
    <s v="2026-01"/>
  </r>
  <r>
    <s v="MS100969"/>
    <d v="2026-02-09T00:00:00"/>
    <x v="8"/>
    <s v="Makeup Organizer"/>
    <x v="0"/>
    <x v="7"/>
    <s v="Delhi"/>
    <n v="1"/>
    <n v="349"/>
    <n v="20"/>
    <n v="279"/>
    <n v="279"/>
    <x v="0"/>
    <x v="0"/>
    <n v="65"/>
    <s v="No"/>
    <n v="22.31"/>
    <n v="144.72"/>
    <n v="46.97"/>
    <n v="279"/>
    <n v="7"/>
    <s v="2026-02"/>
  </r>
  <r>
    <s v="MS100970"/>
    <d v="2026-08-25T00:00:00"/>
    <x v="5"/>
    <s v="Women Kurti Set"/>
    <x v="3"/>
    <x v="9"/>
    <s v="Gujarat"/>
    <n v="1"/>
    <n v="699"/>
    <n v="20"/>
    <n v="559"/>
    <n v="559"/>
    <x v="3"/>
    <x v="1"/>
    <n v="55"/>
    <s v="No"/>
    <n v="27.35"/>
    <n v="245.29"/>
    <n v="231.36"/>
    <n v="559"/>
    <n v="35"/>
    <s v="2026-08"/>
  </r>
  <r>
    <s v="MS100971"/>
    <d v="2026-07-20T00:00:00"/>
    <x v="2"/>
    <s v="Men's T-Shirt"/>
    <x v="2"/>
    <x v="2"/>
    <s v="Maharashtra"/>
    <n v="1"/>
    <n v="449"/>
    <n v="5"/>
    <n v="427"/>
    <n v="427"/>
    <x v="0"/>
    <x v="0"/>
    <n v="35"/>
    <s v="No"/>
    <n v="23.51"/>
    <n v="182.04"/>
    <n v="186.45"/>
    <n v="427"/>
    <n v="30"/>
    <s v="2026-07"/>
  </r>
  <r>
    <s v="MS100972"/>
    <d v="2026-09-03T00:00:00"/>
    <x v="7"/>
    <s v="Women's Slippers"/>
    <x v="5"/>
    <x v="7"/>
    <s v="Delhi"/>
    <n v="1"/>
    <n v="299"/>
    <n v="15"/>
    <n v="254"/>
    <n v="254"/>
    <x v="0"/>
    <x v="1"/>
    <n v="45"/>
    <s v="No"/>
    <n v="12.57"/>
    <n v="113.35"/>
    <n v="83.08"/>
    <n v="254"/>
    <n v="36"/>
    <s v="2026-09"/>
  </r>
  <r>
    <s v="MS100973"/>
    <d v="2026-08-23T00:00:00"/>
    <x v="5"/>
    <s v="Kids Dress"/>
    <x v="1"/>
    <x v="9"/>
    <s v="Gujarat"/>
    <n v="1"/>
    <n v="599"/>
    <n v="25"/>
    <n v="449"/>
    <n v="449"/>
    <x v="1"/>
    <x v="0"/>
    <n v="65"/>
    <s v="No"/>
    <n v="30.84"/>
    <n v="225.98"/>
    <n v="127.18"/>
    <n v="449"/>
    <n v="34"/>
    <s v="2026-08"/>
  </r>
  <r>
    <s v="MS100974"/>
    <d v="2026-01-04T00:00:00"/>
    <x v="3"/>
    <s v="Handbag"/>
    <x v="6"/>
    <x v="6"/>
    <s v="Uttar Pradesh"/>
    <n v="1"/>
    <n v="549"/>
    <n v="5"/>
    <n v="522"/>
    <n v="522"/>
    <x v="0"/>
    <x v="0"/>
    <n v="65"/>
    <s v="No"/>
    <n v="31.23"/>
    <n v="235.59"/>
    <n v="190.18"/>
    <n v="522"/>
    <n v="1"/>
    <s v="2026-01"/>
  </r>
  <r>
    <s v="MS100975"/>
    <d v="2026-06-03T00:00:00"/>
    <x v="6"/>
    <s v="Women's Slippers"/>
    <x v="5"/>
    <x v="2"/>
    <s v="Maharashtra"/>
    <n v="2"/>
    <n v="299"/>
    <n v="30"/>
    <n v="209"/>
    <n v="418"/>
    <x v="0"/>
    <x v="1"/>
    <n v="35"/>
    <s v="No"/>
    <n v="20.309999999999999"/>
    <n v="190.44"/>
    <n v="172.25"/>
    <n v="209"/>
    <n v="23"/>
    <s v="2026-06"/>
  </r>
  <r>
    <s v="MS100976"/>
    <d v="2026-01-29T00:00:00"/>
    <x v="3"/>
    <s v="Kids Dress"/>
    <x v="1"/>
    <x v="6"/>
    <s v="Uttar Pradesh"/>
    <n v="2"/>
    <n v="599"/>
    <n v="20"/>
    <n v="479"/>
    <n v="958"/>
    <x v="2"/>
    <x v="1"/>
    <n v="35"/>
    <s v="Yes"/>
    <n v="75.95"/>
    <n v="439.83"/>
    <n v="407.22"/>
    <n v="479"/>
    <n v="5"/>
    <s v="2026-01"/>
  </r>
  <r>
    <s v="MS100977"/>
    <d v="2026-04-19T00:00:00"/>
    <x v="0"/>
    <s v="Men's T-Shirt"/>
    <x v="2"/>
    <x v="8"/>
    <s v="Telangana"/>
    <n v="1"/>
    <n v="449"/>
    <n v="10"/>
    <n v="404"/>
    <n v="404"/>
    <x v="0"/>
    <x v="2"/>
    <n v="55"/>
    <s v="No"/>
    <n v="17.03"/>
    <n v="190.55"/>
    <n v="141.41999999999999"/>
    <n v="404"/>
    <n v="16"/>
    <s v="2026-04"/>
  </r>
  <r>
    <s v="MS100978"/>
    <d v="2026-04-08T00:00:00"/>
    <x v="0"/>
    <s v="Bedsheet"/>
    <x v="4"/>
    <x v="1"/>
    <s v="Karnataka"/>
    <n v="1"/>
    <n v="699"/>
    <n v="10"/>
    <n v="629"/>
    <n v="629"/>
    <x v="0"/>
    <x v="0"/>
    <n v="45"/>
    <s v="No"/>
    <n v="43.98"/>
    <n v="276.57"/>
    <n v="263.45"/>
    <n v="629"/>
    <n v="15"/>
    <s v="2026-04"/>
  </r>
  <r>
    <s v="MS100979"/>
    <d v="2026-08-03T00:00:00"/>
    <x v="5"/>
    <s v="Women's Slippers"/>
    <x v="5"/>
    <x v="9"/>
    <s v="Gujarat"/>
    <n v="2"/>
    <n v="299"/>
    <n v="15"/>
    <n v="254"/>
    <n v="508"/>
    <x v="0"/>
    <x v="1"/>
    <n v="35"/>
    <s v="No"/>
    <n v="28.81"/>
    <n v="250.78"/>
    <n v="193.41"/>
    <n v="254"/>
    <n v="32"/>
    <s v="2026-08"/>
  </r>
  <r>
    <s v="MS100980"/>
    <d v="2026-03-16T00:00:00"/>
    <x v="1"/>
    <s v="Women's Slippers"/>
    <x v="5"/>
    <x v="3"/>
    <s v="West Bengal"/>
    <n v="1"/>
    <n v="299"/>
    <n v="25"/>
    <n v="224"/>
    <n v="224"/>
    <x v="0"/>
    <x v="1"/>
    <n v="35"/>
    <s v="No"/>
    <n v="10.1"/>
    <n v="103.01"/>
    <n v="75.89"/>
    <n v="224"/>
    <n v="12"/>
    <s v="2026-03"/>
  </r>
  <r>
    <s v="MS100981"/>
    <d v="2026-05-26T00:00:00"/>
    <x v="4"/>
    <s v="Women's Top"/>
    <x v="3"/>
    <x v="4"/>
    <s v="Rajasthan"/>
    <n v="1"/>
    <n v="399"/>
    <n v="5"/>
    <n v="379"/>
    <n v="379"/>
    <x v="0"/>
    <x v="3"/>
    <n v="45"/>
    <s v="No"/>
    <n v="17.079999999999998"/>
    <n v="196.08"/>
    <n v="120.84"/>
    <n v="379"/>
    <n v="22"/>
    <s v="2026-05"/>
  </r>
  <r>
    <s v="MS100982"/>
    <d v="2026-05-08T00:00:00"/>
    <x v="4"/>
    <s v="Men's T-Shirt"/>
    <x v="2"/>
    <x v="5"/>
    <s v="Maharashtra"/>
    <n v="2"/>
    <n v="449"/>
    <n v="15"/>
    <n v="382"/>
    <n v="764"/>
    <x v="0"/>
    <x v="1"/>
    <n v="35"/>
    <s v="No"/>
    <n v="47.87"/>
    <n v="356.92"/>
    <n v="324.20999999999998"/>
    <n v="382"/>
    <n v="19"/>
    <s v="2026-05"/>
  </r>
  <r>
    <s v="MS100983"/>
    <d v="2026-02-11T00:00:00"/>
    <x v="8"/>
    <s v="Handbag"/>
    <x v="6"/>
    <x v="8"/>
    <s v="Telangana"/>
    <n v="1"/>
    <n v="549"/>
    <n v="15"/>
    <n v="467"/>
    <n v="467"/>
    <x v="2"/>
    <x v="1"/>
    <n v="65"/>
    <s v="Yes"/>
    <n v="21.31"/>
    <n v="229.61"/>
    <n v="151.08000000000001"/>
    <n v="467"/>
    <n v="7"/>
    <s v="2026-02"/>
  </r>
  <r>
    <s v="MS100984"/>
    <d v="2026-02-10T00:00:00"/>
    <x v="8"/>
    <s v="Men's T-Shirt"/>
    <x v="2"/>
    <x v="0"/>
    <s v="Maharashtra"/>
    <n v="1"/>
    <n v="449"/>
    <n v="20"/>
    <n v="359"/>
    <n v="359"/>
    <x v="0"/>
    <x v="3"/>
    <n v="35"/>
    <s v="No"/>
    <n v="25.33"/>
    <n v="160.05000000000001"/>
    <n v="138.62"/>
    <n v="359"/>
    <n v="7"/>
    <s v="2026-02"/>
  </r>
  <r>
    <s v="MS100985"/>
    <d v="2026-02-03T00:00:00"/>
    <x v="8"/>
    <s v="Printed Saree"/>
    <x v="3"/>
    <x v="9"/>
    <s v="Gujarat"/>
    <n v="1"/>
    <n v="899"/>
    <n v="30"/>
    <n v="629"/>
    <n v="629"/>
    <x v="0"/>
    <x v="0"/>
    <n v="35"/>
    <s v="No"/>
    <n v="38.29"/>
    <n v="273.95"/>
    <n v="281.76"/>
    <n v="629"/>
    <n v="6"/>
    <s v="2026-02"/>
  </r>
  <r>
    <s v="MS100986"/>
    <d v="2026-01-17T00:00:00"/>
    <x v="3"/>
    <s v="Oxidised Jewellery Set"/>
    <x v="7"/>
    <x v="4"/>
    <s v="Rajasthan"/>
    <n v="2"/>
    <n v="249"/>
    <n v="15"/>
    <n v="212"/>
    <n v="424"/>
    <x v="3"/>
    <x v="1"/>
    <n v="65"/>
    <s v="No"/>
    <n v="18.43"/>
    <n v="210.28"/>
    <n v="130.29"/>
    <n v="212"/>
    <n v="3"/>
    <s v="2026-01"/>
  </r>
  <r>
    <s v="MS100987"/>
    <d v="2026-06-14T00:00:00"/>
    <x v="6"/>
    <s v="Handbag"/>
    <x v="6"/>
    <x v="4"/>
    <s v="Rajasthan"/>
    <n v="1"/>
    <n v="549"/>
    <n v="40"/>
    <n v="329"/>
    <n v="329"/>
    <x v="0"/>
    <x v="2"/>
    <n v="65"/>
    <s v="No"/>
    <n v="22.41"/>
    <n v="142.68"/>
    <n v="98.91"/>
    <n v="329"/>
    <n v="24"/>
    <s v="2026-06"/>
  </r>
  <r>
    <s v="MS100988"/>
    <d v="2026-06-02T00:00:00"/>
    <x v="6"/>
    <s v="Leggings"/>
    <x v="3"/>
    <x v="6"/>
    <s v="Uttar Pradesh"/>
    <n v="1"/>
    <n v="299"/>
    <n v="15"/>
    <n v="254"/>
    <n v="254"/>
    <x v="0"/>
    <x v="0"/>
    <n v="55"/>
    <s v="No"/>
    <n v="10.24"/>
    <n v="126.49"/>
    <n v="62.27"/>
    <n v="254"/>
    <n v="23"/>
    <s v="2026-06"/>
  </r>
  <r>
    <s v="MS100989"/>
    <d v="2026-03-17T00:00:00"/>
    <x v="1"/>
    <s v="Oxidised Jewellery Set"/>
    <x v="7"/>
    <x v="8"/>
    <s v="Telangana"/>
    <n v="2"/>
    <n v="249"/>
    <n v="30"/>
    <n v="174"/>
    <n v="348"/>
    <x v="0"/>
    <x v="0"/>
    <n v="35"/>
    <s v="No"/>
    <n v="25.8"/>
    <n v="154.58000000000001"/>
    <n v="132.62"/>
    <n v="174"/>
    <n v="12"/>
    <s v="2026-03"/>
  </r>
  <r>
    <s v="MS100990"/>
    <d v="2026-03-28T00:00:00"/>
    <x v="1"/>
    <s v="Bedsheet"/>
    <x v="4"/>
    <x v="0"/>
    <s v="Maharashtra"/>
    <n v="1"/>
    <n v="699"/>
    <n v="20"/>
    <n v="559"/>
    <n v="559"/>
    <x v="2"/>
    <x v="1"/>
    <n v="65"/>
    <s v="Yes"/>
    <n v="23.36"/>
    <n v="286.20999999999998"/>
    <n v="184.43"/>
    <n v="559"/>
    <n v="13"/>
    <s v="2026-03"/>
  </r>
  <r>
    <s v="MS100991"/>
    <d v="2026-04-27T00:00:00"/>
    <x v="0"/>
    <s v="Oxidised Jewellery Set"/>
    <x v="7"/>
    <x v="2"/>
    <s v="Maharashtra"/>
    <n v="1"/>
    <n v="249"/>
    <n v="20"/>
    <n v="199"/>
    <n v="199"/>
    <x v="0"/>
    <x v="2"/>
    <n v="55"/>
    <s v="No"/>
    <n v="11.3"/>
    <n v="95.68"/>
    <n v="37.020000000000003"/>
    <n v="199"/>
    <n v="18"/>
    <s v="2026-04"/>
  </r>
  <r>
    <s v="MS100992"/>
    <d v="2026-01-27T00:00:00"/>
    <x v="3"/>
    <s v="Oxidised Jewellery Set"/>
    <x v="7"/>
    <x v="5"/>
    <s v="Maharashtra"/>
    <n v="2"/>
    <n v="249"/>
    <n v="30"/>
    <n v="174"/>
    <n v="348"/>
    <x v="1"/>
    <x v="1"/>
    <n v="55"/>
    <s v="No"/>
    <n v="23.6"/>
    <n v="160.71"/>
    <n v="108.69"/>
    <n v="174"/>
    <n v="5"/>
    <s v="2026-01"/>
  </r>
  <r>
    <s v="MS100993"/>
    <d v="2026-05-14T00:00:00"/>
    <x v="4"/>
    <s v="Oxidised Jewellery Set"/>
    <x v="7"/>
    <x v="0"/>
    <s v="Maharashtra"/>
    <n v="2"/>
    <n v="249"/>
    <n v="10"/>
    <n v="224"/>
    <n v="448"/>
    <x v="3"/>
    <x v="3"/>
    <n v="35"/>
    <s v="No"/>
    <n v="34.35"/>
    <n v="213.26"/>
    <n v="165.39"/>
    <n v="224"/>
    <n v="20"/>
    <s v="2026-05"/>
  </r>
  <r>
    <s v="MS100994"/>
    <d v="2026-08-07T00:00:00"/>
    <x v="5"/>
    <s v="Makeup Organizer"/>
    <x v="0"/>
    <x v="2"/>
    <s v="Maharashtra"/>
    <n v="2"/>
    <n v="349"/>
    <n v="35"/>
    <n v="227"/>
    <n v="454"/>
    <x v="4"/>
    <x v="0"/>
    <n v="55"/>
    <s v="No"/>
    <n v="32.880000000000003"/>
    <n v="221.99"/>
    <n v="144.13"/>
    <n v="227"/>
    <n v="32"/>
    <s v="2026-08"/>
  </r>
  <r>
    <s v="MS100995"/>
    <d v="2026-06-17T00:00:00"/>
    <x v="6"/>
    <s v="Women's Slippers"/>
    <x v="5"/>
    <x v="3"/>
    <s v="West Bengal"/>
    <n v="1"/>
    <n v="299"/>
    <n v="10"/>
    <n v="269"/>
    <n v="269"/>
    <x v="0"/>
    <x v="1"/>
    <n v="45"/>
    <s v="No"/>
    <n v="12.64"/>
    <n v="135.81"/>
    <n v="75.55"/>
    <n v="269"/>
    <n v="25"/>
    <s v="2026-06"/>
  </r>
  <r>
    <s v="MS100996"/>
    <d v="2026-04-08T00:00:00"/>
    <x v="0"/>
    <s v="Bedsheet"/>
    <x v="4"/>
    <x v="3"/>
    <s v="West Bengal"/>
    <n v="1"/>
    <n v="699"/>
    <n v="5"/>
    <n v="664"/>
    <n v="664"/>
    <x v="2"/>
    <x v="0"/>
    <n v="35"/>
    <s v="Yes"/>
    <n v="51.62"/>
    <n v="303.12"/>
    <n v="274.26"/>
    <n v="664"/>
    <n v="15"/>
    <s v="2026-04"/>
  </r>
  <r>
    <s v="MS100997"/>
    <d v="2026-08-25T00:00:00"/>
    <x v="5"/>
    <s v="Kids Dress"/>
    <x v="1"/>
    <x v="1"/>
    <s v="Karnataka"/>
    <n v="2"/>
    <n v="599"/>
    <n v="25"/>
    <n v="449"/>
    <n v="898"/>
    <x v="0"/>
    <x v="1"/>
    <n v="45"/>
    <s v="No"/>
    <n v="60.61"/>
    <n v="387.18"/>
    <n v="405.21"/>
    <n v="449"/>
    <n v="35"/>
    <s v="2026-08"/>
  </r>
  <r>
    <s v="MS100998"/>
    <d v="2026-06-22T00:00:00"/>
    <x v="6"/>
    <s v="Printed Saree"/>
    <x v="3"/>
    <x v="0"/>
    <s v="Maharashtra"/>
    <n v="1"/>
    <n v="899"/>
    <n v="5"/>
    <n v="854"/>
    <n v="854"/>
    <x v="1"/>
    <x v="2"/>
    <n v="65"/>
    <s v="No"/>
    <n v="37.020000000000003"/>
    <n v="399.92"/>
    <n v="352.06"/>
    <n v="854"/>
    <n v="26"/>
    <s v="2026-06"/>
  </r>
  <r>
    <s v="MS100999"/>
    <d v="2026-07-09T00:00:00"/>
    <x v="2"/>
    <s v="Women's Slippers"/>
    <x v="5"/>
    <x v="2"/>
    <s v="Maharashtra"/>
    <n v="1"/>
    <n v="299"/>
    <n v="10"/>
    <n v="269"/>
    <n v="269"/>
    <x v="1"/>
    <x v="1"/>
    <n v="55"/>
    <s v="No"/>
    <n v="17.38"/>
    <n v="135.25"/>
    <n v="61.37"/>
    <n v="269"/>
    <n v="28"/>
    <s v="2026-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7B30A-5C32-46E5-8A62-C612FA7DAB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6" firstHeaderRow="1" firstDataRow="2" firstDataCol="1"/>
  <pivotFields count="22">
    <pivotField dataField="1" showAll="0"/>
    <pivotField numFmtId="164" showAll="0"/>
    <pivotField axis="axisCol" showAll="0">
      <items count="10">
        <item x="3"/>
        <item x="8"/>
        <item x="1"/>
        <item x="0"/>
        <item x="4"/>
        <item x="6"/>
        <item x="2"/>
        <item x="5"/>
        <item x="7"/>
        <item t="default"/>
      </items>
    </pivotField>
    <pivotField showAll="0"/>
    <pivotField showAll="0"/>
    <pivotField axis="axisRow" showAll="0">
      <items count="11">
        <item h="1" x="9"/>
        <item x="1"/>
        <item h="1" x="7"/>
        <item h="1" x="8"/>
        <item h="1" x="4"/>
        <item h="1" x="3"/>
        <item h="1" x="6"/>
        <item h="1" x="2"/>
        <item h="1" x="5"/>
        <item h="1" x="0"/>
        <item t="default"/>
      </items>
    </pivotField>
    <pivotField showAll="0"/>
    <pivotField showAll="0"/>
    <pivotField numFmtId="165" showAll="0"/>
    <pivotField numFmtId="9" showAll="0"/>
    <pivotField numFmtId="165" showAll="0"/>
    <pivotField numFmtId="165" showAll="0"/>
    <pivotField showAll="0"/>
    <pivotField showAll="0"/>
    <pivotField numFmtId="165" showAll="0"/>
    <pivotField showAll="0"/>
    <pivotField numFmtId="165" showAll="0"/>
    <pivotField numFmtId="165" showAll="0"/>
    <pivotField numFmtId="165" showAll="0"/>
    <pivotField numFmtId="165" showAll="0"/>
    <pivotField numFmtId="165" showAll="0"/>
    <pivotField showAll="0"/>
  </pivotFields>
  <rowFields count="1">
    <field x="5"/>
  </rowFields>
  <rowItems count="2">
    <i>
      <x v="1"/>
    </i>
    <i t="grand">
      <x/>
    </i>
  </rowItems>
  <colFields count="1">
    <field x="2"/>
  </colFields>
  <colItems count="10">
    <i>
      <x/>
    </i>
    <i>
      <x v="1"/>
    </i>
    <i>
      <x v="2"/>
    </i>
    <i>
      <x v="3"/>
    </i>
    <i>
      <x v="4"/>
    </i>
    <i>
      <x v="5"/>
    </i>
    <i>
      <x v="6"/>
    </i>
    <i>
      <x v="7"/>
    </i>
    <i>
      <x v="8"/>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E436A-F7DF-49B2-AB46-D2E28FE648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2">
    <pivotField dataField="1" showAll="0"/>
    <pivotField numFmtId="164" showAll="0"/>
    <pivotField showAll="0"/>
    <pivotField showAll="0"/>
    <pivotField showAll="0">
      <items count="9">
        <item x="6"/>
        <item x="0"/>
        <item x="5"/>
        <item x="4"/>
        <item x="7"/>
        <item x="1"/>
        <item x="2"/>
        <item x="3"/>
        <item t="default"/>
      </items>
    </pivotField>
    <pivotField showAll="0">
      <items count="11">
        <item x="9"/>
        <item x="1"/>
        <item x="7"/>
        <item x="8"/>
        <item x="4"/>
        <item x="3"/>
        <item x="6"/>
        <item x="2"/>
        <item x="5"/>
        <item x="0"/>
        <item t="default"/>
      </items>
    </pivotField>
    <pivotField showAll="0"/>
    <pivotField dataField="1" showAll="0"/>
    <pivotField numFmtId="165" showAll="0"/>
    <pivotField numFmtId="9" showAll="0"/>
    <pivotField numFmtId="165" showAll="0"/>
    <pivotField dataField="1" numFmtId="165" showAll="0"/>
    <pivotField showAll="0">
      <items count="6">
        <item x="4"/>
        <item x="0"/>
        <item x="1"/>
        <item x="2"/>
        <item x="3"/>
        <item t="default"/>
      </items>
    </pivotField>
    <pivotField showAll="0">
      <items count="5">
        <item x="1"/>
        <item x="3"/>
        <item x="2"/>
        <item x="0"/>
        <item t="default"/>
      </items>
    </pivotField>
    <pivotField numFmtId="165" showAll="0"/>
    <pivotField showAll="0"/>
    <pivotField numFmtId="165" showAll="0"/>
    <pivotField numFmtId="165" showAll="0"/>
    <pivotField dataField="1" numFmtId="165" showAll="0"/>
    <pivotField numFmtId="165" showAll="0"/>
    <pivotField numFmtId="165" showAll="0"/>
    <pivotField showAll="0"/>
  </pivotFields>
  <rowItems count="1">
    <i/>
  </rowItems>
  <colFields count="1">
    <field x="-2"/>
  </colFields>
  <colItems count="4">
    <i>
      <x/>
    </i>
    <i i="1">
      <x v="1"/>
    </i>
    <i i="2">
      <x v="2"/>
    </i>
    <i i="3">
      <x v="3"/>
    </i>
  </colItems>
  <dataFields count="4">
    <dataField name="Sum of Sales_Amount" fld="11" baseField="0" baseItem="0" numFmtId="165"/>
    <dataField name="Count of Order_ID" fld="0" subtotal="count" baseField="0" baseItem="0"/>
    <dataField name="Sum of Estimated_Profit" fld="18" baseField="0" baseItem="0" numFmtId="165"/>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39A5F1-F8C3-4AE1-A76C-89DA7B49BD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23:S29" firstHeaderRow="1" firstDataRow="1" firstDataCol="1"/>
  <pivotFields count="22">
    <pivotField dataField="1" showAll="0"/>
    <pivotField numFmtId="164" showAll="0"/>
    <pivotField showAll="0"/>
    <pivotField showAll="0"/>
    <pivotField showAll="0">
      <items count="9">
        <item x="6"/>
        <item x="0"/>
        <item x="5"/>
        <item x="4"/>
        <item x="7"/>
        <item x="1"/>
        <item x="2"/>
        <item x="3"/>
        <item t="default"/>
      </items>
    </pivotField>
    <pivotField showAll="0">
      <items count="11">
        <item x="9"/>
        <item x="1"/>
        <item x="7"/>
        <item x="8"/>
        <item x="4"/>
        <item x="3"/>
        <item x="6"/>
        <item x="2"/>
        <item x="5"/>
        <item x="0"/>
        <item t="default"/>
      </items>
    </pivotField>
    <pivotField showAll="0"/>
    <pivotField showAll="0"/>
    <pivotField numFmtId="165" showAll="0"/>
    <pivotField numFmtId="9" showAll="0"/>
    <pivotField numFmtId="165" showAll="0"/>
    <pivotField numFmtId="165" showAll="0"/>
    <pivotField axis="axisRow" showAll="0">
      <items count="6">
        <item x="4"/>
        <item x="0"/>
        <item x="1"/>
        <item x="2"/>
        <item x="3"/>
        <item t="default"/>
      </items>
    </pivotField>
    <pivotField showAll="0">
      <items count="5">
        <item x="1"/>
        <item x="3"/>
        <item x="2"/>
        <item x="0"/>
        <item t="default"/>
      </items>
    </pivotField>
    <pivotField numFmtId="165" showAll="0"/>
    <pivotField showAll="0"/>
    <pivotField numFmtId="165" showAll="0"/>
    <pivotField numFmtId="165" showAll="0"/>
    <pivotField numFmtId="165" showAll="0"/>
    <pivotField numFmtId="165" showAll="0"/>
    <pivotField numFmtId="165" showAll="0"/>
    <pivotField showAll="0"/>
  </pivotFields>
  <rowFields count="1">
    <field x="12"/>
  </rowFields>
  <rowItems count="6">
    <i>
      <x/>
    </i>
    <i>
      <x v="1"/>
    </i>
    <i>
      <x v="2"/>
    </i>
    <i>
      <x v="3"/>
    </i>
    <i>
      <x v="4"/>
    </i>
    <i t="grand">
      <x/>
    </i>
  </rowItems>
  <colItems count="1">
    <i/>
  </colItems>
  <dataFields count="1">
    <dataField name="Count of Order_ID" fld="0" subtotal="count" baseField="0" baseItem="0"/>
  </dataFields>
  <chartFormats count="7">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0"/>
          </reference>
        </references>
      </pivotArea>
    </chartFormat>
    <chartFormat chart="6" format="9">
      <pivotArea type="data" outline="0" fieldPosition="0">
        <references count="2">
          <reference field="4294967294" count="1" selected="0">
            <x v="0"/>
          </reference>
          <reference field="12" count="1" selected="0">
            <x v="1"/>
          </reference>
        </references>
      </pivotArea>
    </chartFormat>
    <chartFormat chart="6" format="10">
      <pivotArea type="data" outline="0" fieldPosition="0">
        <references count="2">
          <reference field="4294967294" count="1" selected="0">
            <x v="0"/>
          </reference>
          <reference field="12" count="1" selected="0">
            <x v="2"/>
          </reference>
        </references>
      </pivotArea>
    </chartFormat>
    <chartFormat chart="6" format="11">
      <pivotArea type="data" outline="0" fieldPosition="0">
        <references count="2">
          <reference field="4294967294" count="1" selected="0">
            <x v="0"/>
          </reference>
          <reference field="12" count="1" selected="0">
            <x v="3"/>
          </reference>
        </references>
      </pivotArea>
    </chartFormat>
    <chartFormat chart="6"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E945EC-8126-4527-B910-B9D718CF86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7:R16" firstHeaderRow="1" firstDataRow="1" firstDataCol="1"/>
  <pivotFields count="22">
    <pivotField showAll="0"/>
    <pivotField numFmtId="164" showAll="0"/>
    <pivotField showAll="0"/>
    <pivotField showAll="0"/>
    <pivotField axis="axisRow" showAll="0">
      <items count="9">
        <item x="6"/>
        <item x="0"/>
        <item x="5"/>
        <item x="4"/>
        <item x="7"/>
        <item x="1"/>
        <item x="2"/>
        <item x="3"/>
        <item t="default"/>
      </items>
    </pivotField>
    <pivotField showAll="0">
      <items count="11">
        <item x="9"/>
        <item x="1"/>
        <item x="7"/>
        <item x="8"/>
        <item x="4"/>
        <item x="3"/>
        <item x="6"/>
        <item x="2"/>
        <item x="5"/>
        <item x="0"/>
        <item t="default"/>
      </items>
    </pivotField>
    <pivotField showAll="0"/>
    <pivotField showAll="0"/>
    <pivotField numFmtId="165" showAll="0"/>
    <pivotField numFmtId="9" showAll="0"/>
    <pivotField numFmtId="165" showAll="0"/>
    <pivotField dataField="1" numFmtId="165" showAll="0"/>
    <pivotField showAll="0">
      <items count="6">
        <item x="4"/>
        <item x="0"/>
        <item x="1"/>
        <item x="2"/>
        <item x="3"/>
        <item t="default"/>
      </items>
    </pivotField>
    <pivotField showAll="0">
      <items count="5">
        <item x="1"/>
        <item x="3"/>
        <item x="2"/>
        <item x="0"/>
        <item t="default"/>
      </items>
    </pivotField>
    <pivotField numFmtId="165" showAll="0"/>
    <pivotField showAll="0"/>
    <pivotField numFmtId="165" showAll="0"/>
    <pivotField numFmtId="165" showAll="0"/>
    <pivotField numFmtId="165" showAll="0"/>
    <pivotField numFmtId="165" showAll="0"/>
    <pivotField numFmtId="165" showAll="0"/>
    <pivotField showAll="0"/>
  </pivotFields>
  <rowFields count="1">
    <field x="4"/>
  </rowFields>
  <rowItems count="9">
    <i>
      <x/>
    </i>
    <i>
      <x v="1"/>
    </i>
    <i>
      <x v="2"/>
    </i>
    <i>
      <x v="3"/>
    </i>
    <i>
      <x v="4"/>
    </i>
    <i>
      <x v="5"/>
    </i>
    <i>
      <x v="6"/>
    </i>
    <i>
      <x v="7"/>
    </i>
    <i t="grand">
      <x/>
    </i>
  </rowItems>
  <colItems count="1">
    <i/>
  </colItems>
  <dataFields count="1">
    <dataField name="Sum of Sales_Amount" fld="11" baseField="0" baseItem="0" numFmtId="4"/>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421E03-E49F-4D3E-8568-EA432EEFE7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7:O18" firstHeaderRow="1" firstDataRow="1" firstDataCol="1"/>
  <pivotFields count="22">
    <pivotField showAll="0"/>
    <pivotField numFmtId="164" showAll="0"/>
    <pivotField showAll="0"/>
    <pivotField showAll="0"/>
    <pivotField showAll="0">
      <items count="9">
        <item x="6"/>
        <item x="0"/>
        <item x="5"/>
        <item x="4"/>
        <item x="7"/>
        <item x="1"/>
        <item x="2"/>
        <item x="3"/>
        <item t="default"/>
      </items>
    </pivotField>
    <pivotField axis="axisRow" showAll="0">
      <items count="11">
        <item x="9"/>
        <item x="1"/>
        <item x="7"/>
        <item x="8"/>
        <item x="4"/>
        <item x="3"/>
        <item x="6"/>
        <item x="2"/>
        <item x="5"/>
        <item x="0"/>
        <item t="default"/>
      </items>
    </pivotField>
    <pivotField showAll="0"/>
    <pivotField showAll="0"/>
    <pivotField numFmtId="165" showAll="0"/>
    <pivotField numFmtId="9" showAll="0"/>
    <pivotField numFmtId="165" showAll="0"/>
    <pivotField dataField="1" numFmtId="165" showAll="0"/>
    <pivotField showAll="0">
      <items count="6">
        <item x="4"/>
        <item x="0"/>
        <item x="1"/>
        <item x="2"/>
        <item x="3"/>
        <item t="default"/>
      </items>
    </pivotField>
    <pivotField showAll="0">
      <items count="5">
        <item x="1"/>
        <item x="3"/>
        <item x="2"/>
        <item x="0"/>
        <item t="default"/>
      </items>
    </pivotField>
    <pivotField numFmtId="165" showAll="0"/>
    <pivotField showAll="0"/>
    <pivotField numFmtId="165" showAll="0"/>
    <pivotField numFmtId="165" showAll="0"/>
    <pivotField numFmtId="165" showAll="0"/>
    <pivotField numFmtId="165" showAll="0"/>
    <pivotField numFmtId="165" showAll="0"/>
    <pivotField showAll="0"/>
  </pivotFields>
  <rowFields count="1">
    <field x="5"/>
  </rowFields>
  <rowItems count="11">
    <i>
      <x/>
    </i>
    <i>
      <x v="1"/>
    </i>
    <i>
      <x v="2"/>
    </i>
    <i>
      <x v="3"/>
    </i>
    <i>
      <x v="4"/>
    </i>
    <i>
      <x v="5"/>
    </i>
    <i>
      <x v="6"/>
    </i>
    <i>
      <x v="7"/>
    </i>
    <i>
      <x v="8"/>
    </i>
    <i>
      <x v="9"/>
    </i>
    <i t="grand">
      <x/>
    </i>
  </rowItems>
  <colItems count="1">
    <i/>
  </colItems>
  <dataFields count="1">
    <dataField name="Sum of Sales_Amount" fld="11" baseField="0" baseItem="0" numFmtId="165"/>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50D037-DD9E-410A-84B7-A2A186B708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22">
    <pivotField showAll="0"/>
    <pivotField numFmtId="164" showAll="0"/>
    <pivotField axis="axisRow" showAll="0">
      <items count="10">
        <item x="3"/>
        <item x="8"/>
        <item x="1"/>
        <item x="0"/>
        <item x="4"/>
        <item x="6"/>
        <item x="2"/>
        <item x="5"/>
        <item x="7"/>
        <item t="default"/>
      </items>
    </pivotField>
    <pivotField showAll="0"/>
    <pivotField showAll="0">
      <items count="9">
        <item x="6"/>
        <item x="0"/>
        <item x="5"/>
        <item x="4"/>
        <item x="7"/>
        <item x="1"/>
        <item x="2"/>
        <item x="3"/>
        <item t="default"/>
      </items>
    </pivotField>
    <pivotField showAll="0">
      <items count="11">
        <item x="9"/>
        <item x="1"/>
        <item x="7"/>
        <item x="8"/>
        <item x="4"/>
        <item x="3"/>
        <item x="6"/>
        <item x="2"/>
        <item x="5"/>
        <item x="0"/>
        <item t="default"/>
      </items>
    </pivotField>
    <pivotField showAll="0"/>
    <pivotField showAll="0"/>
    <pivotField numFmtId="165" showAll="0"/>
    <pivotField numFmtId="9" showAll="0"/>
    <pivotField numFmtId="165" showAll="0"/>
    <pivotField dataField="1" numFmtId="165" showAll="0"/>
    <pivotField showAll="0">
      <items count="6">
        <item x="4"/>
        <item x="0"/>
        <item x="1"/>
        <item x="2"/>
        <item x="3"/>
        <item t="default"/>
      </items>
    </pivotField>
    <pivotField showAll="0">
      <items count="5">
        <item x="1"/>
        <item x="3"/>
        <item x="2"/>
        <item x="0"/>
        <item t="default"/>
      </items>
    </pivotField>
    <pivotField numFmtId="165" showAll="0"/>
    <pivotField showAll="0"/>
    <pivotField numFmtId="165" showAll="0"/>
    <pivotField numFmtId="165" showAll="0"/>
    <pivotField numFmtId="165" showAll="0"/>
    <pivotField numFmtId="165" showAll="0"/>
    <pivotField numFmtId="165" showAll="0"/>
    <pivotField showAll="0"/>
  </pivotFields>
  <rowFields count="1">
    <field x="2"/>
  </rowFields>
  <rowItems count="10">
    <i>
      <x/>
    </i>
    <i>
      <x v="1"/>
    </i>
    <i>
      <x v="2"/>
    </i>
    <i>
      <x v="3"/>
    </i>
    <i>
      <x v="4"/>
    </i>
    <i>
      <x v="5"/>
    </i>
    <i>
      <x v="6"/>
    </i>
    <i>
      <x v="7"/>
    </i>
    <i>
      <x v="8"/>
    </i>
    <i t="grand">
      <x/>
    </i>
  </rowItems>
  <colItems count="1">
    <i/>
  </colItems>
  <dataFields count="1">
    <dataField name="Sum of Sales_Amount" fld="11"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747D64-AF70-47D2-87B5-BD2805F81151}" sourceName="Category">
  <pivotTables>
    <pivotTable tabId="5" name="PivotTable1"/>
    <pivotTable tabId="7" name="PivotTable2"/>
    <pivotTable tabId="7" name="PivotTable3"/>
    <pivotTable tabId="7" name="PivotTable4"/>
    <pivotTable tabId="7" name="PivotTable5"/>
  </pivotTables>
  <data>
    <tabular pivotCacheId="1098463747">
      <items count="8">
        <i x="6" s="1"/>
        <i x="0" s="1"/>
        <i x="5" s="1"/>
        <i x="4" s="1"/>
        <i x="7"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394D4E7-26A5-4C80-82F5-936478FC9235}" sourceName="City">
  <pivotTables>
    <pivotTable tabId="5" name="PivotTable1"/>
    <pivotTable tabId="7" name="PivotTable2"/>
    <pivotTable tabId="7" name="PivotTable3"/>
    <pivotTable tabId="7" name="PivotTable4"/>
    <pivotTable tabId="7" name="PivotTable5"/>
  </pivotTables>
  <data>
    <tabular pivotCacheId="1098463747">
      <items count="10">
        <i x="9" s="1"/>
        <i x="1" s="1"/>
        <i x="7" s="1"/>
        <i x="8" s="1"/>
        <i x="4" s="1"/>
        <i x="3" s="1"/>
        <i x="6" s="1"/>
        <i x="2"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951C41A-1767-4898-8A9C-EE070773AF81}" sourceName="Order_Status">
  <pivotTables>
    <pivotTable tabId="5" name="PivotTable1"/>
    <pivotTable tabId="7" name="PivotTable2"/>
    <pivotTable tabId="7" name="PivotTable3"/>
    <pivotTable tabId="7" name="PivotTable4"/>
    <pivotTable tabId="7" name="PivotTable5"/>
  </pivotTables>
  <data>
    <tabular pivotCacheId="1098463747">
      <items count="5">
        <i x="4" s="1"/>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076DB0F-4670-452F-8855-FBED7E6BF8D0}" sourceName="Payment_Mode">
  <pivotTables>
    <pivotTable tabId="5" name="PivotTable1"/>
    <pivotTable tabId="7" name="PivotTable2"/>
    <pivotTable tabId="7" name="PivotTable3"/>
    <pivotTable tabId="7" name="PivotTable4"/>
    <pivotTable tabId="7" name="PivotTable5"/>
  </pivotTables>
  <data>
    <tabular pivotCacheId="109846374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A53321-2804-46B6-9DF9-1E6347856094}" cache="Slicer_Category" caption="Category" rowHeight="234950"/>
  <slicer name="City" xr10:uid="{95FD4F4F-950A-4DA1-B38D-933C1BDDAA34}" cache="Slicer_City" caption="City" rowHeight="234950"/>
  <slicer name="Order_Status" xr10:uid="{2ADADA67-94F0-4095-9FB7-0B230BBBBE91}" cache="Slicer_Order_Status" caption="Order_Status" rowHeight="234950"/>
  <slicer name="Payment_Mode" xr10:uid="{451E64CD-494A-4F0E-AD0E-564424D92773}" cache="Slicer_Payment_Mode" caption="Payment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67C06B1-2624-43E6-9BFF-15E0E2B69DF4}" cache="Slicer_Category" caption="Category" style="SlicerStyleLight6" rowHeight="234950"/>
  <slicer name="City 1" xr10:uid="{8607B48F-74B1-4834-9C00-68290C4CDEA9}" cache="Slicer_City" caption="City" style="SlicerStyleLight6" rowHeight="234950"/>
  <slicer name="Order_Status 1" xr10:uid="{FDD39E9D-4B58-45BC-8AF2-53791197FCA5}" cache="Slicer_Order_Status" caption="Order_Status" style="SlicerStyleLight6" rowHeight="234950"/>
  <slicer name="Payment_Mode 1" xr10:uid="{93C4C6DB-3761-4A8B-8428-2C277F587FA8}" cache="Slicer_Payment_Mode" caption="Payment_Mod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AF18-33B2-445C-90C6-235513007345}">
  <dimension ref="A3:K6"/>
  <sheetViews>
    <sheetView zoomScale="104" workbookViewId="0">
      <selection activeCell="E3" sqref="E3"/>
    </sheetView>
  </sheetViews>
  <sheetFormatPr defaultRowHeight="14.4" x14ac:dyDescent="0.3"/>
  <cols>
    <col min="1" max="1" width="16.44140625" bestFit="1" customWidth="1"/>
    <col min="2" max="2" width="15.5546875" bestFit="1" customWidth="1"/>
    <col min="3" max="3" width="4.109375" bestFit="1" customWidth="1"/>
    <col min="4" max="4" width="4.44140625" bestFit="1" customWidth="1"/>
    <col min="5" max="5" width="4.109375"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10.77734375" bestFit="1" customWidth="1"/>
    <col min="12" max="19" width="16.44140625" bestFit="1" customWidth="1"/>
    <col min="20" max="21" width="21.33203125" bestFit="1" customWidth="1"/>
    <col min="22" max="22" width="16.44140625" bestFit="1" customWidth="1"/>
    <col min="23" max="23" width="20.109375" bestFit="1" customWidth="1"/>
    <col min="24" max="25" width="16.44140625" bestFit="1" customWidth="1"/>
    <col min="26" max="26" width="20.109375" bestFit="1" customWidth="1"/>
    <col min="27" max="28" width="16.44140625" bestFit="1" customWidth="1"/>
    <col min="29" max="29" width="24.88671875" bestFit="1" customWidth="1"/>
    <col min="30" max="31" width="21.33203125" bestFit="1" customWidth="1"/>
  </cols>
  <sheetData>
    <row r="3" spans="1:11" x14ac:dyDescent="0.3">
      <c r="A3" s="7" t="s">
        <v>1097</v>
      </c>
      <c r="B3" s="7" t="s">
        <v>1096</v>
      </c>
    </row>
    <row r="4" spans="1:11" x14ac:dyDescent="0.3">
      <c r="A4" s="7" t="s">
        <v>1094</v>
      </c>
      <c r="B4" t="s">
        <v>52</v>
      </c>
      <c r="C4" t="s">
        <v>95</v>
      </c>
      <c r="D4" t="s">
        <v>39</v>
      </c>
      <c r="E4" t="s">
        <v>23</v>
      </c>
      <c r="F4" t="s">
        <v>62</v>
      </c>
      <c r="G4" t="s">
        <v>78</v>
      </c>
      <c r="H4" t="s">
        <v>45</v>
      </c>
      <c r="I4" t="s">
        <v>67</v>
      </c>
      <c r="J4" t="s">
        <v>86</v>
      </c>
      <c r="K4" t="s">
        <v>1095</v>
      </c>
    </row>
    <row r="5" spans="1:11" x14ac:dyDescent="0.3">
      <c r="A5" s="8" t="s">
        <v>35</v>
      </c>
      <c r="B5">
        <v>10</v>
      </c>
      <c r="C5">
        <v>8</v>
      </c>
      <c r="D5">
        <v>9</v>
      </c>
      <c r="E5">
        <v>12</v>
      </c>
      <c r="F5">
        <v>13</v>
      </c>
      <c r="G5">
        <v>4</v>
      </c>
      <c r="H5">
        <v>9</v>
      </c>
      <c r="I5">
        <v>9</v>
      </c>
      <c r="J5">
        <v>9</v>
      </c>
      <c r="K5">
        <v>83</v>
      </c>
    </row>
    <row r="6" spans="1:11" x14ac:dyDescent="0.3">
      <c r="A6" s="8" t="s">
        <v>1095</v>
      </c>
      <c r="B6">
        <v>10</v>
      </c>
      <c r="C6">
        <v>8</v>
      </c>
      <c r="D6">
        <v>9</v>
      </c>
      <c r="E6">
        <v>12</v>
      </c>
      <c r="F6">
        <v>13</v>
      </c>
      <c r="G6">
        <v>4</v>
      </c>
      <c r="H6">
        <v>9</v>
      </c>
      <c r="I6">
        <v>9</v>
      </c>
      <c r="J6">
        <v>9</v>
      </c>
      <c r="K6">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D5" sqref="D5"/>
    </sheetView>
  </sheetViews>
  <sheetFormatPr defaultRowHeight="14.4" x14ac:dyDescent="0.3"/>
  <cols>
    <col min="1" max="1" width="24" customWidth="1"/>
    <col min="2" max="2" width="18" customWidth="1"/>
  </cols>
  <sheetData>
    <row r="1" spans="1:4" x14ac:dyDescent="0.3">
      <c r="A1" s="5" t="s">
        <v>1086</v>
      </c>
      <c r="B1" s="5" t="s">
        <v>1087</v>
      </c>
    </row>
    <row r="2" spans="1:4" x14ac:dyDescent="0.3">
      <c r="A2" s="6" t="s">
        <v>1088</v>
      </c>
      <c r="B2">
        <v>502253</v>
      </c>
      <c r="D2">
        <f>B2</f>
        <v>502253</v>
      </c>
    </row>
    <row r="3" spans="1:4" x14ac:dyDescent="0.3">
      <c r="A3" s="6" t="s">
        <v>1089</v>
      </c>
      <c r="B3">
        <v>1000</v>
      </c>
      <c r="D3">
        <f>B3</f>
        <v>1000</v>
      </c>
    </row>
    <row r="4" spans="1:4" x14ac:dyDescent="0.3">
      <c r="A4" s="6" t="s">
        <v>1090</v>
      </c>
      <c r="B4">
        <v>1302</v>
      </c>
      <c r="D4">
        <f>B4</f>
        <v>1302</v>
      </c>
    </row>
    <row r="5" spans="1:4" x14ac:dyDescent="0.3">
      <c r="A5" s="6" t="s">
        <v>1091</v>
      </c>
      <c r="B5">
        <v>186627.43</v>
      </c>
      <c r="D5">
        <f>B5</f>
        <v>186627.43</v>
      </c>
    </row>
    <row r="6" spans="1:4" x14ac:dyDescent="0.3">
      <c r="A6" s="6" t="s">
        <v>1092</v>
      </c>
      <c r="B6">
        <v>502.25299999999999</v>
      </c>
    </row>
    <row r="7" spans="1:4" x14ac:dyDescent="0.3">
      <c r="A7" s="6" t="s">
        <v>1093</v>
      </c>
      <c r="B7">
        <v>7.8E-2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9594-CAE1-4450-8028-45D4C5C306EB}">
  <dimension ref="A3:D6"/>
  <sheetViews>
    <sheetView workbookViewId="0">
      <selection activeCell="C4" sqref="C4"/>
    </sheetView>
  </sheetViews>
  <sheetFormatPr defaultRowHeight="14.4" x14ac:dyDescent="0.3"/>
  <cols>
    <col min="1" max="1" width="19.77734375" bestFit="1" customWidth="1"/>
    <col min="2" max="2" width="16.44140625" bestFit="1" customWidth="1"/>
    <col min="3" max="3" width="21.77734375" bestFit="1" customWidth="1"/>
    <col min="4" max="4" width="14.88671875" bestFit="1" customWidth="1"/>
  </cols>
  <sheetData>
    <row r="3" spans="1:4" x14ac:dyDescent="0.3">
      <c r="A3" t="s">
        <v>1098</v>
      </c>
      <c r="B3" t="s">
        <v>1097</v>
      </c>
      <c r="C3" t="s">
        <v>1099</v>
      </c>
      <c r="D3" t="s">
        <v>1100</v>
      </c>
    </row>
    <row r="4" spans="1:4" x14ac:dyDescent="0.3">
      <c r="A4" s="3">
        <v>502253</v>
      </c>
      <c r="B4">
        <v>1000</v>
      </c>
      <c r="C4" s="3">
        <v>186627.43000000011</v>
      </c>
      <c r="D4">
        <v>1302</v>
      </c>
    </row>
    <row r="6" spans="1:4" x14ac:dyDescent="0.3">
      <c r="A6">
        <f>GETPIVOTDATA("Sum of Sales_Amount",$A$3)</f>
        <v>502253</v>
      </c>
      <c r="B6">
        <f>GETPIVOTDATA("Count of Order_ID",$A$3)</f>
        <v>1000</v>
      </c>
      <c r="C6">
        <f>GETPIVOTDATA("Sum of Estimated_Profit",$A$3)</f>
        <v>186627.43000000011</v>
      </c>
      <c r="D6">
        <f>GETPIVOTDATA("Sum of Quantity",$A$3)</f>
        <v>1302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94F2-D27D-4259-853F-5CA4AEFD7D3E}">
  <dimension ref="A3:S29"/>
  <sheetViews>
    <sheetView topLeftCell="B1" zoomScaleNormal="100" workbookViewId="0">
      <selection activeCell="P38" sqref="P38"/>
    </sheetView>
  </sheetViews>
  <sheetFormatPr defaultRowHeight="14.4" x14ac:dyDescent="0.3"/>
  <cols>
    <col min="1" max="1" width="12.5546875" bestFit="1" customWidth="1"/>
    <col min="2" max="2" width="19.77734375" bestFit="1" customWidth="1"/>
    <col min="14" max="14" width="12.5546875" bestFit="1" customWidth="1"/>
    <col min="15" max="15" width="19.77734375" bestFit="1" customWidth="1"/>
    <col min="17" max="17" width="14.21875" bestFit="1" customWidth="1"/>
    <col min="18" max="18" width="12.5546875" bestFit="1" customWidth="1"/>
    <col min="19" max="19" width="16.44140625" bestFit="1" customWidth="1"/>
  </cols>
  <sheetData>
    <row r="3" spans="1:18" x14ac:dyDescent="0.3">
      <c r="A3" s="7" t="s">
        <v>1094</v>
      </c>
      <c r="B3" t="s">
        <v>1098</v>
      </c>
    </row>
    <row r="4" spans="1:18" x14ac:dyDescent="0.3">
      <c r="A4" s="8" t="s">
        <v>52</v>
      </c>
      <c r="B4" s="3">
        <v>56299</v>
      </c>
    </row>
    <row r="5" spans="1:18" x14ac:dyDescent="0.3">
      <c r="A5" s="8" t="s">
        <v>95</v>
      </c>
      <c r="B5" s="3">
        <v>61624</v>
      </c>
    </row>
    <row r="6" spans="1:18" x14ac:dyDescent="0.3">
      <c r="A6" s="8" t="s">
        <v>39</v>
      </c>
      <c r="B6" s="3">
        <v>43706</v>
      </c>
    </row>
    <row r="7" spans="1:18" x14ac:dyDescent="0.3">
      <c r="A7" s="8" t="s">
        <v>23</v>
      </c>
      <c r="B7" s="3">
        <v>61906</v>
      </c>
      <c r="N7" s="7" t="s">
        <v>1094</v>
      </c>
      <c r="O7" t="s">
        <v>1098</v>
      </c>
      <c r="Q7" s="7" t="s">
        <v>1094</v>
      </c>
      <c r="R7" t="s">
        <v>1098</v>
      </c>
    </row>
    <row r="8" spans="1:18" x14ac:dyDescent="0.3">
      <c r="A8" s="8" t="s">
        <v>62</v>
      </c>
      <c r="B8" s="3">
        <v>63461</v>
      </c>
      <c r="N8" s="8" t="s">
        <v>109</v>
      </c>
      <c r="O8" s="3">
        <v>50587</v>
      </c>
      <c r="Q8" s="8" t="s">
        <v>75</v>
      </c>
      <c r="R8" s="9">
        <v>51910</v>
      </c>
    </row>
    <row r="9" spans="1:18" x14ac:dyDescent="0.3">
      <c r="A9" s="8" t="s">
        <v>78</v>
      </c>
      <c r="B9" s="3">
        <v>58113</v>
      </c>
      <c r="N9" s="8" t="s">
        <v>35</v>
      </c>
      <c r="O9" s="3">
        <v>44155</v>
      </c>
      <c r="Q9" s="8" t="s">
        <v>25</v>
      </c>
      <c r="R9" s="9">
        <v>27857</v>
      </c>
    </row>
    <row r="10" spans="1:18" x14ac:dyDescent="0.3">
      <c r="A10" s="8" t="s">
        <v>45</v>
      </c>
      <c r="B10" s="3">
        <v>50641</v>
      </c>
      <c r="N10" s="8" t="s">
        <v>84</v>
      </c>
      <c r="O10" s="3">
        <v>42826</v>
      </c>
      <c r="Q10" s="8" t="s">
        <v>60</v>
      </c>
      <c r="R10" s="9">
        <v>25378</v>
      </c>
    </row>
    <row r="11" spans="1:18" x14ac:dyDescent="0.3">
      <c r="A11" s="8" t="s">
        <v>67</v>
      </c>
      <c r="B11" s="3">
        <v>66788</v>
      </c>
      <c r="N11" s="8" t="s">
        <v>100</v>
      </c>
      <c r="O11" s="3">
        <v>49233</v>
      </c>
      <c r="Q11" s="8" t="s">
        <v>54</v>
      </c>
      <c r="R11" s="9">
        <v>97870</v>
      </c>
    </row>
    <row r="12" spans="1:18" x14ac:dyDescent="0.3">
      <c r="A12" s="8" t="s">
        <v>86</v>
      </c>
      <c r="B12" s="3">
        <v>39715</v>
      </c>
      <c r="N12" s="8" t="s">
        <v>55</v>
      </c>
      <c r="O12" s="3">
        <v>51011</v>
      </c>
      <c r="Q12" s="8" t="s">
        <v>116</v>
      </c>
      <c r="R12" s="9">
        <v>25138</v>
      </c>
    </row>
    <row r="13" spans="1:18" x14ac:dyDescent="0.3">
      <c r="A13" s="8" t="s">
        <v>1095</v>
      </c>
      <c r="B13" s="3">
        <v>502253</v>
      </c>
      <c r="N13" s="8" t="s">
        <v>48</v>
      </c>
      <c r="O13" s="3">
        <v>38694</v>
      </c>
      <c r="Q13" s="8" t="s">
        <v>34</v>
      </c>
      <c r="R13" s="9">
        <v>43828</v>
      </c>
    </row>
    <row r="14" spans="1:18" x14ac:dyDescent="0.3">
      <c r="N14" s="8" t="s">
        <v>79</v>
      </c>
      <c r="O14" s="3">
        <v>53663</v>
      </c>
      <c r="Q14" s="8" t="s">
        <v>41</v>
      </c>
      <c r="R14" s="9">
        <v>44522</v>
      </c>
    </row>
    <row r="15" spans="1:18" x14ac:dyDescent="0.3">
      <c r="N15" s="8" t="s">
        <v>42</v>
      </c>
      <c r="O15" s="3">
        <v>65619</v>
      </c>
      <c r="Q15" s="8" t="s">
        <v>47</v>
      </c>
      <c r="R15" s="9">
        <v>185750</v>
      </c>
    </row>
    <row r="16" spans="1:18" x14ac:dyDescent="0.3">
      <c r="N16" s="8" t="s">
        <v>68</v>
      </c>
      <c r="O16" s="3">
        <v>64512</v>
      </c>
      <c r="Q16" s="8" t="s">
        <v>1095</v>
      </c>
      <c r="R16" s="9">
        <v>502253</v>
      </c>
    </row>
    <row r="17" spans="14:19" x14ac:dyDescent="0.3">
      <c r="N17" s="8" t="s">
        <v>26</v>
      </c>
      <c r="O17" s="3">
        <v>41953</v>
      </c>
    </row>
    <row r="18" spans="14:19" x14ac:dyDescent="0.3">
      <c r="N18" s="8" t="s">
        <v>1095</v>
      </c>
      <c r="O18" s="3">
        <v>502253</v>
      </c>
    </row>
    <row r="23" spans="14:19" x14ac:dyDescent="0.3">
      <c r="R23" s="7" t="s">
        <v>1094</v>
      </c>
      <c r="S23" t="s">
        <v>1097</v>
      </c>
    </row>
    <row r="24" spans="14:19" x14ac:dyDescent="0.3">
      <c r="R24" s="8" t="s">
        <v>102</v>
      </c>
      <c r="S24">
        <v>51</v>
      </c>
    </row>
    <row r="25" spans="14:19" x14ac:dyDescent="0.3">
      <c r="R25" s="8" t="s">
        <v>28</v>
      </c>
      <c r="S25">
        <v>651</v>
      </c>
    </row>
    <row r="26" spans="14:19" x14ac:dyDescent="0.3">
      <c r="R26" s="8" t="s">
        <v>64</v>
      </c>
      <c r="S26">
        <v>81</v>
      </c>
    </row>
    <row r="27" spans="14:19" x14ac:dyDescent="0.3">
      <c r="R27" s="8" t="s">
        <v>69</v>
      </c>
      <c r="S27">
        <v>78</v>
      </c>
    </row>
    <row r="28" spans="14:19" x14ac:dyDescent="0.3">
      <c r="R28" s="8" t="s">
        <v>76</v>
      </c>
      <c r="S28">
        <v>139</v>
      </c>
    </row>
    <row r="29" spans="14:19" x14ac:dyDescent="0.3">
      <c r="R29" s="8" t="s">
        <v>1095</v>
      </c>
      <c r="S29">
        <v>1000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H1" workbookViewId="0">
      <pane ySplit="1" topLeftCell="A976" activePane="bottomLeft" state="frozen"/>
      <selection pane="bottomLeft" activeCell="H976" sqref="A1:V1001"/>
    </sheetView>
  </sheetViews>
  <sheetFormatPr defaultRowHeight="14.4" x14ac:dyDescent="0.3"/>
  <cols>
    <col min="1" max="1" width="14" customWidth="1"/>
    <col min="2" max="2" width="17.21875" customWidth="1"/>
    <col min="3" max="3" width="10" customWidth="1"/>
    <col min="4" max="4" width="28" customWidth="1"/>
    <col min="5" max="5" width="20" customWidth="1"/>
    <col min="6" max="6" width="15" customWidth="1"/>
    <col min="7" max="7" width="18" customWidth="1"/>
    <col min="8" max="9" width="10" customWidth="1"/>
    <col min="10" max="10" width="12" customWidth="1"/>
    <col min="11" max="12" width="14" customWidth="1"/>
    <col min="13" max="13" width="15" customWidth="1"/>
    <col min="14" max="15" width="14" customWidth="1"/>
    <col min="16" max="16" width="12" customWidth="1"/>
    <col min="17" max="18" width="14" customWidth="1"/>
    <col min="19" max="19" width="17" customWidth="1"/>
    <col min="20" max="21" width="12" customWidth="1"/>
  </cols>
  <sheetData>
    <row r="1" spans="1:2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
      <c r="A2" t="s">
        <v>22</v>
      </c>
      <c r="B2" s="1">
        <v>46125</v>
      </c>
      <c r="C2" t="s">
        <v>23</v>
      </c>
      <c r="D2" t="s">
        <v>24</v>
      </c>
      <c r="E2" t="s">
        <v>25</v>
      </c>
      <c r="F2" t="s">
        <v>26</v>
      </c>
      <c r="G2" t="s">
        <v>27</v>
      </c>
      <c r="H2">
        <v>1</v>
      </c>
      <c r="I2" s="3">
        <v>349</v>
      </c>
      <c r="J2" s="4">
        <v>30</v>
      </c>
      <c r="K2" s="3">
        <v>244</v>
      </c>
      <c r="L2" s="3">
        <v>244</v>
      </c>
      <c r="M2" t="s">
        <v>28</v>
      </c>
      <c r="N2" t="s">
        <v>29</v>
      </c>
      <c r="O2" s="3">
        <v>65</v>
      </c>
      <c r="P2" t="s">
        <v>30</v>
      </c>
      <c r="Q2" s="3">
        <v>17.28</v>
      </c>
      <c r="R2" s="3">
        <v>104.15</v>
      </c>
      <c r="S2" s="3">
        <v>57.57</v>
      </c>
      <c r="T2" s="3">
        <v>244</v>
      </c>
      <c r="U2" s="3">
        <v>16</v>
      </c>
      <c r="V2" t="s">
        <v>31</v>
      </c>
    </row>
    <row r="3" spans="1:22" x14ac:dyDescent="0.3">
      <c r="A3" t="s">
        <v>32</v>
      </c>
      <c r="B3" s="1">
        <v>46129</v>
      </c>
      <c r="C3" t="s">
        <v>23</v>
      </c>
      <c r="D3" t="s">
        <v>33</v>
      </c>
      <c r="E3" t="s">
        <v>34</v>
      </c>
      <c r="F3" t="s">
        <v>35</v>
      </c>
      <c r="G3" t="s">
        <v>36</v>
      </c>
      <c r="H3">
        <v>1</v>
      </c>
      <c r="I3" s="3">
        <v>599</v>
      </c>
      <c r="J3" s="4">
        <v>15</v>
      </c>
      <c r="K3" s="3">
        <v>509</v>
      </c>
      <c r="L3" s="3">
        <v>509</v>
      </c>
      <c r="M3" t="s">
        <v>28</v>
      </c>
      <c r="N3" t="s">
        <v>37</v>
      </c>
      <c r="O3" s="3">
        <v>45</v>
      </c>
      <c r="P3" t="s">
        <v>30</v>
      </c>
      <c r="Q3" s="3">
        <v>28.44</v>
      </c>
      <c r="R3" s="3">
        <v>262.33999999999997</v>
      </c>
      <c r="S3" s="3">
        <v>173.22</v>
      </c>
      <c r="T3" s="3">
        <v>509</v>
      </c>
      <c r="U3" s="3">
        <v>16</v>
      </c>
      <c r="V3" t="s">
        <v>31</v>
      </c>
    </row>
    <row r="4" spans="1:22" x14ac:dyDescent="0.3">
      <c r="A4" t="s">
        <v>38</v>
      </c>
      <c r="B4" s="1">
        <v>46094</v>
      </c>
      <c r="C4" t="s">
        <v>39</v>
      </c>
      <c r="D4" t="s">
        <v>40</v>
      </c>
      <c r="E4" t="s">
        <v>41</v>
      </c>
      <c r="F4" t="s">
        <v>42</v>
      </c>
      <c r="G4" t="s">
        <v>27</v>
      </c>
      <c r="H4">
        <v>1</v>
      </c>
      <c r="I4" s="3">
        <v>449</v>
      </c>
      <c r="J4" s="4">
        <v>20</v>
      </c>
      <c r="K4" s="3">
        <v>359</v>
      </c>
      <c r="L4" s="3">
        <v>359</v>
      </c>
      <c r="M4" t="s">
        <v>28</v>
      </c>
      <c r="N4" t="s">
        <v>29</v>
      </c>
      <c r="O4" s="3">
        <v>65</v>
      </c>
      <c r="P4" t="s">
        <v>30</v>
      </c>
      <c r="Q4" s="3">
        <v>15.1</v>
      </c>
      <c r="R4" s="3">
        <v>168.6</v>
      </c>
      <c r="S4" s="3">
        <v>110.3</v>
      </c>
      <c r="T4" s="3">
        <v>359</v>
      </c>
      <c r="U4" s="3">
        <v>11</v>
      </c>
      <c r="V4" t="s">
        <v>43</v>
      </c>
    </row>
    <row r="5" spans="1:22" x14ac:dyDescent="0.3">
      <c r="A5" t="s">
        <v>44</v>
      </c>
      <c r="B5" s="1">
        <v>46211</v>
      </c>
      <c r="C5" t="s">
        <v>45</v>
      </c>
      <c r="D5" t="s">
        <v>46</v>
      </c>
      <c r="E5" t="s">
        <v>47</v>
      </c>
      <c r="F5" t="s">
        <v>48</v>
      </c>
      <c r="G5" t="s">
        <v>49</v>
      </c>
      <c r="H5">
        <v>2</v>
      </c>
      <c r="I5" s="3">
        <v>899</v>
      </c>
      <c r="J5" s="4">
        <v>10</v>
      </c>
      <c r="K5" s="3">
        <v>809</v>
      </c>
      <c r="L5" s="3">
        <v>1618</v>
      </c>
      <c r="M5" t="s">
        <v>28</v>
      </c>
      <c r="N5" t="s">
        <v>29</v>
      </c>
      <c r="O5" s="3">
        <v>35</v>
      </c>
      <c r="P5" t="s">
        <v>30</v>
      </c>
      <c r="Q5" s="3">
        <v>91.44</v>
      </c>
      <c r="R5" s="3">
        <v>793.62</v>
      </c>
      <c r="S5" s="3">
        <v>697.94</v>
      </c>
      <c r="T5" s="3">
        <v>809</v>
      </c>
      <c r="U5" s="3">
        <v>28</v>
      </c>
      <c r="V5" t="s">
        <v>50</v>
      </c>
    </row>
    <row r="6" spans="1:22" x14ac:dyDescent="0.3">
      <c r="A6" t="s">
        <v>51</v>
      </c>
      <c r="B6" s="1">
        <v>46043</v>
      </c>
      <c r="C6" t="s">
        <v>52</v>
      </c>
      <c r="D6" t="s">
        <v>53</v>
      </c>
      <c r="E6" t="s">
        <v>54</v>
      </c>
      <c r="F6" t="s">
        <v>55</v>
      </c>
      <c r="G6" t="s">
        <v>56</v>
      </c>
      <c r="H6">
        <v>1</v>
      </c>
      <c r="I6" s="3">
        <v>499</v>
      </c>
      <c r="J6" s="4">
        <v>10</v>
      </c>
      <c r="K6" s="3">
        <v>449</v>
      </c>
      <c r="L6" s="3">
        <v>449</v>
      </c>
      <c r="M6" t="s">
        <v>28</v>
      </c>
      <c r="N6" t="s">
        <v>37</v>
      </c>
      <c r="O6" s="3">
        <v>55</v>
      </c>
      <c r="P6" t="s">
        <v>30</v>
      </c>
      <c r="Q6" s="3">
        <v>22.85</v>
      </c>
      <c r="R6" s="3">
        <v>215.08</v>
      </c>
      <c r="S6" s="3">
        <v>156.07</v>
      </c>
      <c r="T6" s="3">
        <v>449</v>
      </c>
      <c r="U6" s="3">
        <v>4</v>
      </c>
      <c r="V6" t="s">
        <v>57</v>
      </c>
    </row>
    <row r="7" spans="1:22" x14ac:dyDescent="0.3">
      <c r="A7" t="s">
        <v>58</v>
      </c>
      <c r="B7" s="1">
        <v>46125</v>
      </c>
      <c r="C7" t="s">
        <v>23</v>
      </c>
      <c r="D7" t="s">
        <v>59</v>
      </c>
      <c r="E7" t="s">
        <v>60</v>
      </c>
      <c r="F7" t="s">
        <v>42</v>
      </c>
      <c r="G7" t="s">
        <v>27</v>
      </c>
      <c r="H7">
        <v>1</v>
      </c>
      <c r="I7" s="3">
        <v>299</v>
      </c>
      <c r="J7" s="4">
        <v>40</v>
      </c>
      <c r="K7" s="3">
        <v>179</v>
      </c>
      <c r="L7" s="3">
        <v>179</v>
      </c>
      <c r="M7" t="s">
        <v>28</v>
      </c>
      <c r="N7" t="s">
        <v>29</v>
      </c>
      <c r="O7" s="3">
        <v>55</v>
      </c>
      <c r="P7" t="s">
        <v>30</v>
      </c>
      <c r="Q7" s="3">
        <v>7.78</v>
      </c>
      <c r="R7" s="3">
        <v>92.33</v>
      </c>
      <c r="S7" s="3">
        <v>23.89</v>
      </c>
      <c r="T7" s="3">
        <v>179</v>
      </c>
      <c r="U7" s="3">
        <v>16</v>
      </c>
      <c r="V7" t="s">
        <v>31</v>
      </c>
    </row>
    <row r="8" spans="1:22" x14ac:dyDescent="0.3">
      <c r="A8" t="s">
        <v>61</v>
      </c>
      <c r="B8" s="1">
        <v>46144</v>
      </c>
      <c r="C8" t="s">
        <v>62</v>
      </c>
      <c r="D8" t="s">
        <v>63</v>
      </c>
      <c r="E8" t="s">
        <v>47</v>
      </c>
      <c r="F8" t="s">
        <v>42</v>
      </c>
      <c r="G8" t="s">
        <v>27</v>
      </c>
      <c r="H8">
        <v>1</v>
      </c>
      <c r="I8" s="3">
        <v>399</v>
      </c>
      <c r="J8" s="4">
        <v>25</v>
      </c>
      <c r="K8" s="3">
        <v>299</v>
      </c>
      <c r="L8" s="3">
        <v>299</v>
      </c>
      <c r="M8" t="s">
        <v>64</v>
      </c>
      <c r="N8" t="s">
        <v>29</v>
      </c>
      <c r="O8" s="3">
        <v>35</v>
      </c>
      <c r="P8" t="s">
        <v>30</v>
      </c>
      <c r="Q8" s="3">
        <v>22.76</v>
      </c>
      <c r="R8" s="3">
        <v>144.91999999999999</v>
      </c>
      <c r="S8" s="3">
        <v>96.32</v>
      </c>
      <c r="T8" s="3">
        <v>299</v>
      </c>
      <c r="U8" s="3">
        <v>18</v>
      </c>
      <c r="V8" t="s">
        <v>65</v>
      </c>
    </row>
    <row r="9" spans="1:22" x14ac:dyDescent="0.3">
      <c r="A9" t="s">
        <v>66</v>
      </c>
      <c r="B9" s="1">
        <v>46237</v>
      </c>
      <c r="C9" t="s">
        <v>67</v>
      </c>
      <c r="D9" t="s">
        <v>53</v>
      </c>
      <c r="E9" t="s">
        <v>54</v>
      </c>
      <c r="F9" t="s">
        <v>68</v>
      </c>
      <c r="G9" t="s">
        <v>27</v>
      </c>
      <c r="H9">
        <v>1</v>
      </c>
      <c r="I9" s="3">
        <v>499</v>
      </c>
      <c r="J9" s="4">
        <v>25</v>
      </c>
      <c r="K9" s="3">
        <v>374</v>
      </c>
      <c r="L9" s="3">
        <v>374</v>
      </c>
      <c r="M9" t="s">
        <v>69</v>
      </c>
      <c r="N9" t="s">
        <v>37</v>
      </c>
      <c r="O9" s="3">
        <v>55</v>
      </c>
      <c r="P9" t="s">
        <v>70</v>
      </c>
      <c r="Q9" s="3">
        <v>23.27</v>
      </c>
      <c r="R9" s="3">
        <v>174.78</v>
      </c>
      <c r="S9" s="3">
        <v>120.95</v>
      </c>
      <c r="T9" s="3">
        <v>374</v>
      </c>
      <c r="U9" s="3">
        <v>32</v>
      </c>
      <c r="V9" t="s">
        <v>71</v>
      </c>
    </row>
    <row r="10" spans="1:22" x14ac:dyDescent="0.3">
      <c r="A10" t="s">
        <v>72</v>
      </c>
      <c r="B10" s="1">
        <v>46110</v>
      </c>
      <c r="C10" t="s">
        <v>39</v>
      </c>
      <c r="D10" t="s">
        <v>63</v>
      </c>
      <c r="E10" t="s">
        <v>47</v>
      </c>
      <c r="F10" t="s">
        <v>55</v>
      </c>
      <c r="G10" t="s">
        <v>56</v>
      </c>
      <c r="H10">
        <v>1</v>
      </c>
      <c r="I10" s="3">
        <v>399</v>
      </c>
      <c r="J10" s="4">
        <v>35</v>
      </c>
      <c r="K10" s="3">
        <v>259</v>
      </c>
      <c r="L10" s="3">
        <v>259</v>
      </c>
      <c r="M10" t="s">
        <v>69</v>
      </c>
      <c r="N10" t="s">
        <v>37</v>
      </c>
      <c r="O10" s="3">
        <v>55</v>
      </c>
      <c r="P10" t="s">
        <v>70</v>
      </c>
      <c r="Q10" s="3">
        <v>18.600000000000001</v>
      </c>
      <c r="R10" s="3">
        <v>128.08000000000001</v>
      </c>
      <c r="S10" s="3">
        <v>57.32</v>
      </c>
      <c r="T10" s="3">
        <v>259</v>
      </c>
      <c r="U10" s="3">
        <v>13</v>
      </c>
      <c r="V10" t="s">
        <v>43</v>
      </c>
    </row>
    <row r="11" spans="1:22" x14ac:dyDescent="0.3">
      <c r="A11" t="s">
        <v>73</v>
      </c>
      <c r="B11" s="1">
        <v>46122</v>
      </c>
      <c r="C11" t="s">
        <v>23</v>
      </c>
      <c r="D11" t="s">
        <v>74</v>
      </c>
      <c r="E11" t="s">
        <v>75</v>
      </c>
      <c r="F11" t="s">
        <v>26</v>
      </c>
      <c r="G11" t="s">
        <v>27</v>
      </c>
      <c r="H11">
        <v>1</v>
      </c>
      <c r="I11" s="3">
        <v>549</v>
      </c>
      <c r="J11" s="4">
        <v>25</v>
      </c>
      <c r="K11" s="3">
        <v>412</v>
      </c>
      <c r="L11" s="3">
        <v>412</v>
      </c>
      <c r="M11" t="s">
        <v>76</v>
      </c>
      <c r="N11" t="s">
        <v>37</v>
      </c>
      <c r="O11" s="3">
        <v>65</v>
      </c>
      <c r="P11" t="s">
        <v>30</v>
      </c>
      <c r="Q11" s="3">
        <v>20.27</v>
      </c>
      <c r="R11" s="3">
        <v>178.01</v>
      </c>
      <c r="S11" s="3">
        <v>148.72</v>
      </c>
      <c r="T11" s="3">
        <v>412</v>
      </c>
      <c r="U11" s="3">
        <v>15</v>
      </c>
      <c r="V11" t="s">
        <v>31</v>
      </c>
    </row>
    <row r="12" spans="1:22" x14ac:dyDescent="0.3">
      <c r="A12" t="s">
        <v>77</v>
      </c>
      <c r="B12" s="1">
        <v>46174</v>
      </c>
      <c r="C12" t="s">
        <v>78</v>
      </c>
      <c r="D12" t="s">
        <v>63</v>
      </c>
      <c r="E12" t="s">
        <v>47</v>
      </c>
      <c r="F12" t="s">
        <v>79</v>
      </c>
      <c r="G12" t="s">
        <v>80</v>
      </c>
      <c r="H12">
        <v>1</v>
      </c>
      <c r="I12" s="3">
        <v>399</v>
      </c>
      <c r="J12" s="4">
        <v>20</v>
      </c>
      <c r="K12" s="3">
        <v>319</v>
      </c>
      <c r="L12" s="3">
        <v>319</v>
      </c>
      <c r="M12" t="s">
        <v>28</v>
      </c>
      <c r="N12" t="s">
        <v>37</v>
      </c>
      <c r="O12" s="3">
        <v>65</v>
      </c>
      <c r="P12" t="s">
        <v>30</v>
      </c>
      <c r="Q12" s="3">
        <v>19.64</v>
      </c>
      <c r="R12" s="3">
        <v>159.19999999999999</v>
      </c>
      <c r="S12" s="3">
        <v>75.16</v>
      </c>
      <c r="T12" s="3">
        <v>319</v>
      </c>
      <c r="U12" s="3">
        <v>23</v>
      </c>
      <c r="V12" t="s">
        <v>81</v>
      </c>
    </row>
    <row r="13" spans="1:22" x14ac:dyDescent="0.3">
      <c r="A13" t="s">
        <v>82</v>
      </c>
      <c r="B13" s="1">
        <v>46153</v>
      </c>
      <c r="C13" t="s">
        <v>62</v>
      </c>
      <c r="D13" t="s">
        <v>46</v>
      </c>
      <c r="E13" t="s">
        <v>47</v>
      </c>
      <c r="F13" t="s">
        <v>42</v>
      </c>
      <c r="G13" t="s">
        <v>27</v>
      </c>
      <c r="H13">
        <v>2</v>
      </c>
      <c r="I13" s="3">
        <v>899</v>
      </c>
      <c r="J13" s="4">
        <v>25</v>
      </c>
      <c r="K13" s="3">
        <v>674</v>
      </c>
      <c r="L13" s="3">
        <v>1348</v>
      </c>
      <c r="M13" t="s">
        <v>28</v>
      </c>
      <c r="N13" t="s">
        <v>37</v>
      </c>
      <c r="O13" s="3">
        <v>55</v>
      </c>
      <c r="P13" t="s">
        <v>30</v>
      </c>
      <c r="Q13" s="3">
        <v>78.83</v>
      </c>
      <c r="R13" s="3">
        <v>699.66</v>
      </c>
      <c r="S13" s="3">
        <v>514.51</v>
      </c>
      <c r="T13" s="3">
        <v>674</v>
      </c>
      <c r="U13" s="3">
        <v>20</v>
      </c>
      <c r="V13" t="s">
        <v>65</v>
      </c>
    </row>
    <row r="14" spans="1:22" x14ac:dyDescent="0.3">
      <c r="A14" t="s">
        <v>83</v>
      </c>
      <c r="B14" s="1">
        <v>46172</v>
      </c>
      <c r="C14" t="s">
        <v>62</v>
      </c>
      <c r="D14" t="s">
        <v>46</v>
      </c>
      <c r="E14" t="s">
        <v>47</v>
      </c>
      <c r="F14" t="s">
        <v>84</v>
      </c>
      <c r="G14" t="s">
        <v>84</v>
      </c>
      <c r="H14">
        <v>1</v>
      </c>
      <c r="I14" s="3">
        <v>899</v>
      </c>
      <c r="J14" s="4">
        <v>5</v>
      </c>
      <c r="K14" s="3">
        <v>854</v>
      </c>
      <c r="L14" s="3">
        <v>854</v>
      </c>
      <c r="M14" t="s">
        <v>28</v>
      </c>
      <c r="N14" t="s">
        <v>29</v>
      </c>
      <c r="O14" s="3">
        <v>35</v>
      </c>
      <c r="P14" t="s">
        <v>30</v>
      </c>
      <c r="Q14" s="3">
        <v>47.89</v>
      </c>
      <c r="R14" s="3">
        <v>399.66</v>
      </c>
      <c r="S14" s="3">
        <v>371.45</v>
      </c>
      <c r="T14" s="3">
        <v>854</v>
      </c>
      <c r="U14" s="3">
        <v>22</v>
      </c>
      <c r="V14" t="s">
        <v>65</v>
      </c>
    </row>
    <row r="15" spans="1:22" x14ac:dyDescent="0.3">
      <c r="A15" t="s">
        <v>85</v>
      </c>
      <c r="B15" s="1">
        <v>46280</v>
      </c>
      <c r="C15" t="s">
        <v>86</v>
      </c>
      <c r="D15" t="s">
        <v>40</v>
      </c>
      <c r="E15" t="s">
        <v>41</v>
      </c>
      <c r="F15" t="s">
        <v>48</v>
      </c>
      <c r="G15" t="s">
        <v>49</v>
      </c>
      <c r="H15">
        <v>2</v>
      </c>
      <c r="I15" s="3">
        <v>449</v>
      </c>
      <c r="J15" s="4">
        <v>20</v>
      </c>
      <c r="K15" s="3">
        <v>359</v>
      </c>
      <c r="L15" s="3">
        <v>718</v>
      </c>
      <c r="M15" t="s">
        <v>28</v>
      </c>
      <c r="N15" t="s">
        <v>37</v>
      </c>
      <c r="O15" s="3">
        <v>35</v>
      </c>
      <c r="P15" t="s">
        <v>30</v>
      </c>
      <c r="Q15" s="3">
        <v>49.75</v>
      </c>
      <c r="R15" s="3">
        <v>301.8</v>
      </c>
      <c r="S15" s="3">
        <v>331.45</v>
      </c>
      <c r="T15" s="3">
        <v>359</v>
      </c>
      <c r="U15" s="3">
        <v>38</v>
      </c>
      <c r="V15" t="s">
        <v>87</v>
      </c>
    </row>
    <row r="16" spans="1:22" x14ac:dyDescent="0.3">
      <c r="A16" t="s">
        <v>88</v>
      </c>
      <c r="B16" s="1">
        <v>46214</v>
      </c>
      <c r="C16" t="s">
        <v>45</v>
      </c>
      <c r="D16" t="s">
        <v>40</v>
      </c>
      <c r="E16" t="s">
        <v>41</v>
      </c>
      <c r="F16" t="s">
        <v>26</v>
      </c>
      <c r="G16" t="s">
        <v>27</v>
      </c>
      <c r="H16">
        <v>1</v>
      </c>
      <c r="I16" s="3">
        <v>449</v>
      </c>
      <c r="J16" s="4">
        <v>15</v>
      </c>
      <c r="K16" s="3">
        <v>382</v>
      </c>
      <c r="L16" s="3">
        <v>382</v>
      </c>
      <c r="M16" t="s">
        <v>28</v>
      </c>
      <c r="N16" t="s">
        <v>37</v>
      </c>
      <c r="O16" s="3">
        <v>35</v>
      </c>
      <c r="P16" t="s">
        <v>30</v>
      </c>
      <c r="Q16" s="3">
        <v>29.19</v>
      </c>
      <c r="R16" s="3">
        <v>162.16</v>
      </c>
      <c r="S16" s="3">
        <v>155.65</v>
      </c>
      <c r="T16" s="3">
        <v>382</v>
      </c>
      <c r="U16" s="3">
        <v>28</v>
      </c>
      <c r="V16" t="s">
        <v>50</v>
      </c>
    </row>
    <row r="17" spans="1:22" x14ac:dyDescent="0.3">
      <c r="A17" t="s">
        <v>89</v>
      </c>
      <c r="B17" s="1">
        <v>46183</v>
      </c>
      <c r="C17" t="s">
        <v>78</v>
      </c>
      <c r="D17" t="s">
        <v>53</v>
      </c>
      <c r="E17" t="s">
        <v>54</v>
      </c>
      <c r="F17" t="s">
        <v>79</v>
      </c>
      <c r="G17" t="s">
        <v>80</v>
      </c>
      <c r="H17">
        <v>1</v>
      </c>
      <c r="I17" s="3">
        <v>499</v>
      </c>
      <c r="J17" s="4">
        <v>40</v>
      </c>
      <c r="K17" s="3">
        <v>299</v>
      </c>
      <c r="L17" s="3">
        <v>299</v>
      </c>
      <c r="M17" t="s">
        <v>76</v>
      </c>
      <c r="N17" t="s">
        <v>29</v>
      </c>
      <c r="O17" s="3">
        <v>35</v>
      </c>
      <c r="P17" t="s">
        <v>30</v>
      </c>
      <c r="Q17" s="3">
        <v>13.03</v>
      </c>
      <c r="R17" s="3">
        <v>138.07</v>
      </c>
      <c r="S17" s="3">
        <v>112.9</v>
      </c>
      <c r="T17" s="3">
        <v>299</v>
      </c>
      <c r="U17" s="3">
        <v>24</v>
      </c>
      <c r="V17" t="s">
        <v>81</v>
      </c>
    </row>
    <row r="18" spans="1:22" x14ac:dyDescent="0.3">
      <c r="A18" t="s">
        <v>90</v>
      </c>
      <c r="B18" s="1">
        <v>46044</v>
      </c>
      <c r="C18" t="s">
        <v>52</v>
      </c>
      <c r="D18" t="s">
        <v>40</v>
      </c>
      <c r="E18" t="s">
        <v>41</v>
      </c>
      <c r="F18" t="s">
        <v>26</v>
      </c>
      <c r="G18" t="s">
        <v>27</v>
      </c>
      <c r="H18">
        <v>1</v>
      </c>
      <c r="I18" s="3">
        <v>449</v>
      </c>
      <c r="J18" s="4">
        <v>40</v>
      </c>
      <c r="K18" s="3">
        <v>269</v>
      </c>
      <c r="L18" s="3">
        <v>269</v>
      </c>
      <c r="M18" t="s">
        <v>28</v>
      </c>
      <c r="N18" t="s">
        <v>29</v>
      </c>
      <c r="O18" s="3">
        <v>65</v>
      </c>
      <c r="P18" t="s">
        <v>30</v>
      </c>
      <c r="Q18" s="3">
        <v>19.78</v>
      </c>
      <c r="R18" s="3">
        <v>119.18</v>
      </c>
      <c r="S18" s="3">
        <v>65.040000000000006</v>
      </c>
      <c r="T18" s="3">
        <v>269</v>
      </c>
      <c r="U18" s="3">
        <v>4</v>
      </c>
      <c r="V18" t="s">
        <v>57</v>
      </c>
    </row>
    <row r="19" spans="1:22" x14ac:dyDescent="0.3">
      <c r="A19" t="s">
        <v>91</v>
      </c>
      <c r="B19" s="1">
        <v>46275</v>
      </c>
      <c r="C19" t="s">
        <v>86</v>
      </c>
      <c r="D19" t="s">
        <v>24</v>
      </c>
      <c r="E19" t="s">
        <v>25</v>
      </c>
      <c r="F19" t="s">
        <v>26</v>
      </c>
      <c r="G19" t="s">
        <v>27</v>
      </c>
      <c r="H19">
        <v>1</v>
      </c>
      <c r="I19" s="3">
        <v>349</v>
      </c>
      <c r="J19" s="4">
        <v>5</v>
      </c>
      <c r="K19" s="3">
        <v>332</v>
      </c>
      <c r="L19" s="3">
        <v>332</v>
      </c>
      <c r="M19" t="s">
        <v>69</v>
      </c>
      <c r="N19" t="s">
        <v>29</v>
      </c>
      <c r="O19" s="3">
        <v>65</v>
      </c>
      <c r="P19" t="s">
        <v>70</v>
      </c>
      <c r="Q19" s="3">
        <v>17.93</v>
      </c>
      <c r="R19" s="3">
        <v>141.36000000000001</v>
      </c>
      <c r="S19" s="3">
        <v>107.71</v>
      </c>
      <c r="T19" s="3">
        <v>332</v>
      </c>
      <c r="U19" s="3">
        <v>37</v>
      </c>
      <c r="V19" t="s">
        <v>87</v>
      </c>
    </row>
    <row r="20" spans="1:22" x14ac:dyDescent="0.3">
      <c r="A20" t="s">
        <v>92</v>
      </c>
      <c r="B20" s="1">
        <v>46258</v>
      </c>
      <c r="C20" t="s">
        <v>67</v>
      </c>
      <c r="D20" t="s">
        <v>93</v>
      </c>
      <c r="E20" t="s">
        <v>47</v>
      </c>
      <c r="F20" t="s">
        <v>48</v>
      </c>
      <c r="G20" t="s">
        <v>49</v>
      </c>
      <c r="H20">
        <v>2</v>
      </c>
      <c r="I20" s="3">
        <v>699</v>
      </c>
      <c r="J20" s="4">
        <v>40</v>
      </c>
      <c r="K20" s="3">
        <v>419</v>
      </c>
      <c r="L20" s="3">
        <v>838</v>
      </c>
      <c r="M20" t="s">
        <v>28</v>
      </c>
      <c r="N20" t="s">
        <v>29</v>
      </c>
      <c r="O20" s="3">
        <v>45</v>
      </c>
      <c r="P20" t="s">
        <v>30</v>
      </c>
      <c r="Q20" s="3">
        <v>50.79</v>
      </c>
      <c r="R20" s="3">
        <v>393.12</v>
      </c>
      <c r="S20" s="3">
        <v>349.09</v>
      </c>
      <c r="T20" s="3">
        <v>419</v>
      </c>
      <c r="U20" s="3">
        <v>35</v>
      </c>
      <c r="V20" t="s">
        <v>71</v>
      </c>
    </row>
    <row r="21" spans="1:22" x14ac:dyDescent="0.3">
      <c r="A21" t="s">
        <v>94</v>
      </c>
      <c r="B21" s="1">
        <v>46071</v>
      </c>
      <c r="C21" t="s">
        <v>95</v>
      </c>
      <c r="D21" t="s">
        <v>74</v>
      </c>
      <c r="E21" t="s">
        <v>75</v>
      </c>
      <c r="F21" t="s">
        <v>84</v>
      </c>
      <c r="G21" t="s">
        <v>84</v>
      </c>
      <c r="H21">
        <v>1</v>
      </c>
      <c r="I21" s="3">
        <v>549</v>
      </c>
      <c r="J21" s="4">
        <v>15</v>
      </c>
      <c r="K21" s="3">
        <v>467</v>
      </c>
      <c r="L21" s="3">
        <v>467</v>
      </c>
      <c r="M21" t="s">
        <v>28</v>
      </c>
      <c r="N21" t="s">
        <v>37</v>
      </c>
      <c r="O21" s="3">
        <v>35</v>
      </c>
      <c r="P21" t="s">
        <v>30</v>
      </c>
      <c r="Q21" s="3">
        <v>35.4</v>
      </c>
      <c r="R21" s="3">
        <v>236.31</v>
      </c>
      <c r="S21" s="3">
        <v>160.29</v>
      </c>
      <c r="T21" s="3">
        <v>467</v>
      </c>
      <c r="U21" s="3">
        <v>8</v>
      </c>
      <c r="V21" t="s">
        <v>96</v>
      </c>
    </row>
    <row r="22" spans="1:22" x14ac:dyDescent="0.3">
      <c r="A22" t="s">
        <v>97</v>
      </c>
      <c r="B22" s="1">
        <v>46081</v>
      </c>
      <c r="C22" t="s">
        <v>95</v>
      </c>
      <c r="D22" t="s">
        <v>40</v>
      </c>
      <c r="E22" t="s">
        <v>41</v>
      </c>
      <c r="F22" t="s">
        <v>84</v>
      </c>
      <c r="G22" t="s">
        <v>84</v>
      </c>
      <c r="H22">
        <v>1</v>
      </c>
      <c r="I22" s="3">
        <v>449</v>
      </c>
      <c r="J22" s="4">
        <v>20</v>
      </c>
      <c r="K22" s="3">
        <v>359</v>
      </c>
      <c r="L22" s="3">
        <v>359</v>
      </c>
      <c r="M22" t="s">
        <v>28</v>
      </c>
      <c r="N22" t="s">
        <v>29</v>
      </c>
      <c r="O22" s="3">
        <v>45</v>
      </c>
      <c r="P22" t="s">
        <v>30</v>
      </c>
      <c r="Q22" s="3">
        <v>26.74</v>
      </c>
      <c r="R22" s="3">
        <v>179.84</v>
      </c>
      <c r="S22" s="3">
        <v>107.42</v>
      </c>
      <c r="T22" s="3">
        <v>359</v>
      </c>
      <c r="U22" s="3">
        <v>9</v>
      </c>
      <c r="V22" t="s">
        <v>96</v>
      </c>
    </row>
    <row r="23" spans="1:22" x14ac:dyDescent="0.3">
      <c r="A23" t="s">
        <v>98</v>
      </c>
      <c r="B23" s="1">
        <v>46192</v>
      </c>
      <c r="C23" t="s">
        <v>78</v>
      </c>
      <c r="D23" t="s">
        <v>63</v>
      </c>
      <c r="E23" t="s">
        <v>47</v>
      </c>
      <c r="F23" t="s">
        <v>26</v>
      </c>
      <c r="G23" t="s">
        <v>27</v>
      </c>
      <c r="H23">
        <v>1</v>
      </c>
      <c r="I23" s="3">
        <v>399</v>
      </c>
      <c r="J23" s="4">
        <v>20</v>
      </c>
      <c r="K23" s="3">
        <v>319</v>
      </c>
      <c r="L23" s="3">
        <v>319</v>
      </c>
      <c r="M23" t="s">
        <v>28</v>
      </c>
      <c r="N23" t="s">
        <v>29</v>
      </c>
      <c r="O23" s="3">
        <v>35</v>
      </c>
      <c r="P23" t="s">
        <v>30</v>
      </c>
      <c r="Q23" s="3">
        <v>13.38</v>
      </c>
      <c r="R23" s="3">
        <v>150.97</v>
      </c>
      <c r="S23" s="3">
        <v>119.65</v>
      </c>
      <c r="T23" s="3">
        <v>319</v>
      </c>
      <c r="U23" s="3">
        <v>25</v>
      </c>
      <c r="V23" t="s">
        <v>81</v>
      </c>
    </row>
    <row r="24" spans="1:22" x14ac:dyDescent="0.3">
      <c r="A24" t="s">
        <v>99</v>
      </c>
      <c r="B24" s="1">
        <v>46210</v>
      </c>
      <c r="C24" t="s">
        <v>45</v>
      </c>
      <c r="D24" t="s">
        <v>59</v>
      </c>
      <c r="E24" t="s">
        <v>60</v>
      </c>
      <c r="F24" t="s">
        <v>100</v>
      </c>
      <c r="G24" t="s">
        <v>101</v>
      </c>
      <c r="H24">
        <v>3</v>
      </c>
      <c r="I24" s="3">
        <v>299</v>
      </c>
      <c r="J24" s="4">
        <v>10</v>
      </c>
      <c r="K24" s="3">
        <v>269</v>
      </c>
      <c r="L24" s="3">
        <v>807</v>
      </c>
      <c r="M24" t="s">
        <v>102</v>
      </c>
      <c r="N24" t="s">
        <v>37</v>
      </c>
      <c r="O24" s="3">
        <v>45</v>
      </c>
      <c r="P24" t="s">
        <v>30</v>
      </c>
      <c r="Q24" s="3">
        <v>51.4</v>
      </c>
      <c r="R24" s="3">
        <v>405.49</v>
      </c>
      <c r="S24" s="3">
        <v>305.11</v>
      </c>
      <c r="T24" s="3">
        <v>269</v>
      </c>
      <c r="U24" s="3">
        <v>28</v>
      </c>
      <c r="V24" t="s">
        <v>50</v>
      </c>
    </row>
    <row r="25" spans="1:22" x14ac:dyDescent="0.3">
      <c r="A25" t="s">
        <v>103</v>
      </c>
      <c r="B25" s="1">
        <v>46212</v>
      </c>
      <c r="C25" t="s">
        <v>45</v>
      </c>
      <c r="D25" t="s">
        <v>46</v>
      </c>
      <c r="E25" t="s">
        <v>47</v>
      </c>
      <c r="F25" t="s">
        <v>79</v>
      </c>
      <c r="G25" t="s">
        <v>80</v>
      </c>
      <c r="H25">
        <v>1</v>
      </c>
      <c r="I25" s="3">
        <v>899</v>
      </c>
      <c r="J25" s="4">
        <v>15</v>
      </c>
      <c r="K25" s="3">
        <v>764</v>
      </c>
      <c r="L25" s="3">
        <v>764</v>
      </c>
      <c r="M25" t="s">
        <v>102</v>
      </c>
      <c r="N25" t="s">
        <v>37</v>
      </c>
      <c r="O25" s="3">
        <v>55</v>
      </c>
      <c r="P25" t="s">
        <v>30</v>
      </c>
      <c r="Q25" s="3">
        <v>57.09</v>
      </c>
      <c r="R25" s="3">
        <v>339.62</v>
      </c>
      <c r="S25" s="3">
        <v>312.29000000000002</v>
      </c>
      <c r="T25" s="3">
        <v>764</v>
      </c>
      <c r="U25" s="3">
        <v>28</v>
      </c>
      <c r="V25" t="s">
        <v>50</v>
      </c>
    </row>
    <row r="26" spans="1:22" x14ac:dyDescent="0.3">
      <c r="A26" t="s">
        <v>104</v>
      </c>
      <c r="B26" s="1">
        <v>46197</v>
      </c>
      <c r="C26" t="s">
        <v>78</v>
      </c>
      <c r="D26" t="s">
        <v>53</v>
      </c>
      <c r="E26" t="s">
        <v>54</v>
      </c>
      <c r="F26" t="s">
        <v>48</v>
      </c>
      <c r="G26" t="s">
        <v>49</v>
      </c>
      <c r="H26">
        <v>2</v>
      </c>
      <c r="I26" s="3">
        <v>499</v>
      </c>
      <c r="J26" s="4">
        <v>10</v>
      </c>
      <c r="K26" s="3">
        <v>449</v>
      </c>
      <c r="L26" s="3">
        <v>898</v>
      </c>
      <c r="M26" t="s">
        <v>76</v>
      </c>
      <c r="N26" t="s">
        <v>29</v>
      </c>
      <c r="O26" s="3">
        <v>65</v>
      </c>
      <c r="P26" t="s">
        <v>30</v>
      </c>
      <c r="Q26" s="3">
        <v>41.62</v>
      </c>
      <c r="R26" s="3">
        <v>456.26</v>
      </c>
      <c r="S26" s="3">
        <v>335.12</v>
      </c>
      <c r="T26" s="3">
        <v>449</v>
      </c>
      <c r="U26" s="3">
        <v>26</v>
      </c>
      <c r="V26" t="s">
        <v>81</v>
      </c>
    </row>
    <row r="27" spans="1:22" x14ac:dyDescent="0.3">
      <c r="A27" t="s">
        <v>105</v>
      </c>
      <c r="B27" s="1">
        <v>46073</v>
      </c>
      <c r="C27" t="s">
        <v>95</v>
      </c>
      <c r="D27" t="s">
        <v>74</v>
      </c>
      <c r="E27" t="s">
        <v>75</v>
      </c>
      <c r="F27" t="s">
        <v>55</v>
      </c>
      <c r="G27" t="s">
        <v>56</v>
      </c>
      <c r="H27">
        <v>1</v>
      </c>
      <c r="I27" s="3">
        <v>549</v>
      </c>
      <c r="J27" s="4">
        <v>30</v>
      </c>
      <c r="K27" s="3">
        <v>384</v>
      </c>
      <c r="L27" s="3">
        <v>384</v>
      </c>
      <c r="M27" t="s">
        <v>28</v>
      </c>
      <c r="N27" t="s">
        <v>29</v>
      </c>
      <c r="O27" s="3">
        <v>55</v>
      </c>
      <c r="P27" t="s">
        <v>30</v>
      </c>
      <c r="Q27" s="3">
        <v>17.829999999999998</v>
      </c>
      <c r="R27" s="3">
        <v>192.69</v>
      </c>
      <c r="S27" s="3">
        <v>118.48</v>
      </c>
      <c r="T27" s="3">
        <v>384</v>
      </c>
      <c r="U27" s="3">
        <v>8</v>
      </c>
      <c r="V27" t="s">
        <v>96</v>
      </c>
    </row>
    <row r="28" spans="1:22" x14ac:dyDescent="0.3">
      <c r="A28" t="s">
        <v>106</v>
      </c>
      <c r="B28" s="1">
        <v>46077</v>
      </c>
      <c r="C28" t="s">
        <v>95</v>
      </c>
      <c r="D28" t="s">
        <v>59</v>
      </c>
      <c r="E28" t="s">
        <v>60</v>
      </c>
      <c r="F28" t="s">
        <v>55</v>
      </c>
      <c r="G28" t="s">
        <v>56</v>
      </c>
      <c r="H28">
        <v>1</v>
      </c>
      <c r="I28" s="3">
        <v>299</v>
      </c>
      <c r="J28" s="4">
        <v>10</v>
      </c>
      <c r="K28" s="3">
        <v>269</v>
      </c>
      <c r="L28" s="3">
        <v>269</v>
      </c>
      <c r="M28" t="s">
        <v>28</v>
      </c>
      <c r="N28" t="s">
        <v>29</v>
      </c>
      <c r="O28" s="3">
        <v>35</v>
      </c>
      <c r="P28" t="s">
        <v>30</v>
      </c>
      <c r="Q28" s="3">
        <v>17.559999999999999</v>
      </c>
      <c r="R28" s="3">
        <v>119.97</v>
      </c>
      <c r="S28" s="3">
        <v>96.47</v>
      </c>
      <c r="T28" s="3">
        <v>269</v>
      </c>
      <c r="U28" s="3">
        <v>9</v>
      </c>
      <c r="V28" t="s">
        <v>96</v>
      </c>
    </row>
    <row r="29" spans="1:22" x14ac:dyDescent="0.3">
      <c r="A29" t="s">
        <v>107</v>
      </c>
      <c r="B29" s="1">
        <v>46266</v>
      </c>
      <c r="C29" t="s">
        <v>86</v>
      </c>
      <c r="D29" t="s">
        <v>40</v>
      </c>
      <c r="E29" t="s">
        <v>41</v>
      </c>
      <c r="F29" t="s">
        <v>84</v>
      </c>
      <c r="G29" t="s">
        <v>84</v>
      </c>
      <c r="H29">
        <v>1</v>
      </c>
      <c r="I29" s="3">
        <v>449</v>
      </c>
      <c r="J29" s="4">
        <v>15</v>
      </c>
      <c r="K29" s="3">
        <v>382</v>
      </c>
      <c r="L29" s="3">
        <v>382</v>
      </c>
      <c r="M29" t="s">
        <v>28</v>
      </c>
      <c r="N29" t="s">
        <v>29</v>
      </c>
      <c r="O29" s="3">
        <v>35</v>
      </c>
      <c r="P29" t="s">
        <v>30</v>
      </c>
      <c r="Q29" s="3">
        <v>29.99</v>
      </c>
      <c r="R29" s="3">
        <v>173.5</v>
      </c>
      <c r="S29" s="3">
        <v>143.51</v>
      </c>
      <c r="T29" s="3">
        <v>382</v>
      </c>
      <c r="U29" s="3">
        <v>36</v>
      </c>
      <c r="V29" t="s">
        <v>87</v>
      </c>
    </row>
    <row r="30" spans="1:22" x14ac:dyDescent="0.3">
      <c r="A30" t="s">
        <v>108</v>
      </c>
      <c r="B30" s="1">
        <v>46153</v>
      </c>
      <c r="C30" t="s">
        <v>62</v>
      </c>
      <c r="D30" t="s">
        <v>63</v>
      </c>
      <c r="E30" t="s">
        <v>47</v>
      </c>
      <c r="F30" t="s">
        <v>109</v>
      </c>
      <c r="G30" t="s">
        <v>110</v>
      </c>
      <c r="H30">
        <v>2</v>
      </c>
      <c r="I30" s="3">
        <v>399</v>
      </c>
      <c r="J30" s="4">
        <v>25</v>
      </c>
      <c r="K30" s="3">
        <v>299</v>
      </c>
      <c r="L30" s="3">
        <v>598</v>
      </c>
      <c r="M30" t="s">
        <v>28</v>
      </c>
      <c r="N30" t="s">
        <v>29</v>
      </c>
      <c r="O30" s="3">
        <v>55</v>
      </c>
      <c r="P30" t="s">
        <v>30</v>
      </c>
      <c r="Q30" s="3">
        <v>27.9</v>
      </c>
      <c r="R30" s="3">
        <v>297.26</v>
      </c>
      <c r="S30" s="3">
        <v>217.84</v>
      </c>
      <c r="T30" s="3">
        <v>299</v>
      </c>
      <c r="U30" s="3">
        <v>20</v>
      </c>
      <c r="V30" t="s">
        <v>65</v>
      </c>
    </row>
    <row r="31" spans="1:22" x14ac:dyDescent="0.3">
      <c r="A31" t="s">
        <v>111</v>
      </c>
      <c r="B31" s="1">
        <v>46157</v>
      </c>
      <c r="C31" t="s">
        <v>62</v>
      </c>
      <c r="D31" t="s">
        <v>112</v>
      </c>
      <c r="E31" t="s">
        <v>47</v>
      </c>
      <c r="F31" t="s">
        <v>42</v>
      </c>
      <c r="G31" t="s">
        <v>27</v>
      </c>
      <c r="H31">
        <v>1</v>
      </c>
      <c r="I31" s="3">
        <v>299</v>
      </c>
      <c r="J31" s="4">
        <v>10</v>
      </c>
      <c r="K31" s="3">
        <v>269</v>
      </c>
      <c r="L31" s="3">
        <v>269</v>
      </c>
      <c r="M31" t="s">
        <v>64</v>
      </c>
      <c r="N31" t="s">
        <v>29</v>
      </c>
      <c r="O31" s="3">
        <v>45</v>
      </c>
      <c r="P31" t="s">
        <v>30</v>
      </c>
      <c r="Q31" s="3">
        <v>21.23</v>
      </c>
      <c r="R31" s="3">
        <v>139.04</v>
      </c>
      <c r="S31" s="3">
        <v>63.73</v>
      </c>
      <c r="T31" s="3">
        <v>269</v>
      </c>
      <c r="U31" s="3">
        <v>20</v>
      </c>
      <c r="V31" t="s">
        <v>65</v>
      </c>
    </row>
    <row r="32" spans="1:22" x14ac:dyDescent="0.3">
      <c r="A32" t="s">
        <v>113</v>
      </c>
      <c r="B32" s="1">
        <v>46043</v>
      </c>
      <c r="C32" t="s">
        <v>52</v>
      </c>
      <c r="D32" t="s">
        <v>74</v>
      </c>
      <c r="E32" t="s">
        <v>75</v>
      </c>
      <c r="F32" t="s">
        <v>35</v>
      </c>
      <c r="G32" t="s">
        <v>36</v>
      </c>
      <c r="H32">
        <v>2</v>
      </c>
      <c r="I32" s="3">
        <v>549</v>
      </c>
      <c r="J32" s="4">
        <v>5</v>
      </c>
      <c r="K32" s="3">
        <v>522</v>
      </c>
      <c r="L32" s="3">
        <v>1044</v>
      </c>
      <c r="M32" t="s">
        <v>28</v>
      </c>
      <c r="N32" t="s">
        <v>37</v>
      </c>
      <c r="O32" s="3">
        <v>45</v>
      </c>
      <c r="P32" t="s">
        <v>30</v>
      </c>
      <c r="Q32" s="3">
        <v>57.29</v>
      </c>
      <c r="R32" s="3">
        <v>523.96</v>
      </c>
      <c r="S32" s="3">
        <v>417.75</v>
      </c>
      <c r="T32" s="3">
        <v>522</v>
      </c>
      <c r="U32" s="3">
        <v>4</v>
      </c>
      <c r="V32" t="s">
        <v>57</v>
      </c>
    </row>
    <row r="33" spans="1:22" x14ac:dyDescent="0.3">
      <c r="A33" t="s">
        <v>114</v>
      </c>
      <c r="B33" s="1">
        <v>46189</v>
      </c>
      <c r="C33" t="s">
        <v>78</v>
      </c>
      <c r="D33" t="s">
        <v>115</v>
      </c>
      <c r="E33" t="s">
        <v>116</v>
      </c>
      <c r="F33" t="s">
        <v>68</v>
      </c>
      <c r="G33" t="s">
        <v>27</v>
      </c>
      <c r="H33">
        <v>1</v>
      </c>
      <c r="I33" s="3">
        <v>249</v>
      </c>
      <c r="J33" s="4">
        <v>20</v>
      </c>
      <c r="K33" s="3">
        <v>199</v>
      </c>
      <c r="L33" s="3">
        <v>199</v>
      </c>
      <c r="M33" t="s">
        <v>69</v>
      </c>
      <c r="N33" t="s">
        <v>29</v>
      </c>
      <c r="O33" s="3">
        <v>55</v>
      </c>
      <c r="P33" t="s">
        <v>70</v>
      </c>
      <c r="Q33" s="3">
        <v>11.55</v>
      </c>
      <c r="R33" s="3">
        <v>86.84</v>
      </c>
      <c r="S33" s="3">
        <v>45.61</v>
      </c>
      <c r="T33" s="3">
        <v>199</v>
      </c>
      <c r="U33" s="3">
        <v>25</v>
      </c>
      <c r="V33" t="s">
        <v>81</v>
      </c>
    </row>
    <row r="34" spans="1:22" x14ac:dyDescent="0.3">
      <c r="A34" t="s">
        <v>117</v>
      </c>
      <c r="B34" s="1">
        <v>46111</v>
      </c>
      <c r="C34" t="s">
        <v>39</v>
      </c>
      <c r="D34" t="s">
        <v>33</v>
      </c>
      <c r="E34" t="s">
        <v>34</v>
      </c>
      <c r="F34" t="s">
        <v>35</v>
      </c>
      <c r="G34" t="s">
        <v>36</v>
      </c>
      <c r="H34">
        <v>2</v>
      </c>
      <c r="I34" s="3">
        <v>599</v>
      </c>
      <c r="J34" s="4">
        <v>30</v>
      </c>
      <c r="K34" s="3">
        <v>419</v>
      </c>
      <c r="L34" s="3">
        <v>838</v>
      </c>
      <c r="M34" t="s">
        <v>28</v>
      </c>
      <c r="N34" t="s">
        <v>37</v>
      </c>
      <c r="O34" s="3">
        <v>55</v>
      </c>
      <c r="P34" t="s">
        <v>30</v>
      </c>
      <c r="Q34" s="3">
        <v>42.68</v>
      </c>
      <c r="R34" s="3">
        <v>431.64</v>
      </c>
      <c r="S34" s="3">
        <v>308.68</v>
      </c>
      <c r="T34" s="3">
        <v>419</v>
      </c>
      <c r="U34" s="3">
        <v>14</v>
      </c>
      <c r="V34" t="s">
        <v>43</v>
      </c>
    </row>
    <row r="35" spans="1:22" x14ac:dyDescent="0.3">
      <c r="A35" t="s">
        <v>118</v>
      </c>
      <c r="B35" s="1">
        <v>46036</v>
      </c>
      <c r="C35" t="s">
        <v>52</v>
      </c>
      <c r="D35" t="s">
        <v>59</v>
      </c>
      <c r="E35" t="s">
        <v>60</v>
      </c>
      <c r="F35" t="s">
        <v>100</v>
      </c>
      <c r="G35" t="s">
        <v>101</v>
      </c>
      <c r="H35">
        <v>2</v>
      </c>
      <c r="I35" s="3">
        <v>299</v>
      </c>
      <c r="J35" s="4">
        <v>35</v>
      </c>
      <c r="K35" s="3">
        <v>194</v>
      </c>
      <c r="L35" s="3">
        <v>388</v>
      </c>
      <c r="M35" t="s">
        <v>69</v>
      </c>
      <c r="N35" t="s">
        <v>37</v>
      </c>
      <c r="O35" s="3">
        <v>55</v>
      </c>
      <c r="P35" t="s">
        <v>70</v>
      </c>
      <c r="Q35" s="3">
        <v>19.78</v>
      </c>
      <c r="R35" s="3">
        <v>201.14</v>
      </c>
      <c r="S35" s="3">
        <v>112.08</v>
      </c>
      <c r="T35" s="3">
        <v>194</v>
      </c>
      <c r="U35" s="3">
        <v>3</v>
      </c>
      <c r="V35" t="s">
        <v>57</v>
      </c>
    </row>
    <row r="36" spans="1:22" x14ac:dyDescent="0.3">
      <c r="A36" t="s">
        <v>119</v>
      </c>
      <c r="B36" s="1">
        <v>46264</v>
      </c>
      <c r="C36" t="s">
        <v>67</v>
      </c>
      <c r="D36" t="s">
        <v>59</v>
      </c>
      <c r="E36" t="s">
        <v>60</v>
      </c>
      <c r="F36" t="s">
        <v>109</v>
      </c>
      <c r="G36" t="s">
        <v>110</v>
      </c>
      <c r="H36">
        <v>1</v>
      </c>
      <c r="I36" s="3">
        <v>299</v>
      </c>
      <c r="J36" s="4">
        <v>15</v>
      </c>
      <c r="K36" s="3">
        <v>254</v>
      </c>
      <c r="L36" s="3">
        <v>254</v>
      </c>
      <c r="M36" t="s">
        <v>28</v>
      </c>
      <c r="N36" t="s">
        <v>37</v>
      </c>
      <c r="O36" s="3">
        <v>35</v>
      </c>
      <c r="P36" t="s">
        <v>30</v>
      </c>
      <c r="Q36" s="3">
        <v>17.420000000000002</v>
      </c>
      <c r="R36" s="3">
        <v>120.97</v>
      </c>
      <c r="S36" s="3">
        <v>80.61</v>
      </c>
      <c r="T36" s="3">
        <v>254</v>
      </c>
      <c r="U36" s="3">
        <v>35</v>
      </c>
      <c r="V36" t="s">
        <v>71</v>
      </c>
    </row>
    <row r="37" spans="1:22" x14ac:dyDescent="0.3">
      <c r="A37" t="s">
        <v>120</v>
      </c>
      <c r="B37" s="1">
        <v>46287</v>
      </c>
      <c r="C37" t="s">
        <v>86</v>
      </c>
      <c r="D37" t="s">
        <v>33</v>
      </c>
      <c r="E37" t="s">
        <v>34</v>
      </c>
      <c r="F37" t="s">
        <v>79</v>
      </c>
      <c r="G37" t="s">
        <v>80</v>
      </c>
      <c r="H37">
        <v>1</v>
      </c>
      <c r="I37" s="3">
        <v>599</v>
      </c>
      <c r="J37" s="4">
        <v>15</v>
      </c>
      <c r="K37" s="3">
        <v>509</v>
      </c>
      <c r="L37" s="3">
        <v>509</v>
      </c>
      <c r="M37" t="s">
        <v>28</v>
      </c>
      <c r="N37" t="s">
        <v>29</v>
      </c>
      <c r="O37" s="3">
        <v>65</v>
      </c>
      <c r="P37" t="s">
        <v>30</v>
      </c>
      <c r="Q37" s="3">
        <v>36.06</v>
      </c>
      <c r="R37" s="3">
        <v>256.77999999999997</v>
      </c>
      <c r="S37" s="3">
        <v>151.16</v>
      </c>
      <c r="T37" s="3">
        <v>509</v>
      </c>
      <c r="U37" s="3">
        <v>39</v>
      </c>
      <c r="V37" t="s">
        <v>87</v>
      </c>
    </row>
    <row r="38" spans="1:22" x14ac:dyDescent="0.3">
      <c r="A38" t="s">
        <v>121</v>
      </c>
      <c r="B38" s="1">
        <v>46075</v>
      </c>
      <c r="C38" t="s">
        <v>95</v>
      </c>
      <c r="D38" t="s">
        <v>74</v>
      </c>
      <c r="E38" t="s">
        <v>75</v>
      </c>
      <c r="F38" t="s">
        <v>100</v>
      </c>
      <c r="G38" t="s">
        <v>101</v>
      </c>
      <c r="H38">
        <v>2</v>
      </c>
      <c r="I38" s="3">
        <v>549</v>
      </c>
      <c r="J38" s="4">
        <v>40</v>
      </c>
      <c r="K38" s="3">
        <v>329</v>
      </c>
      <c r="L38" s="3">
        <v>658</v>
      </c>
      <c r="M38" t="s">
        <v>28</v>
      </c>
      <c r="N38" t="s">
        <v>37</v>
      </c>
      <c r="O38" s="3">
        <v>55</v>
      </c>
      <c r="P38" t="s">
        <v>30</v>
      </c>
      <c r="Q38" s="3">
        <v>38.99</v>
      </c>
      <c r="R38" s="3">
        <v>284.08</v>
      </c>
      <c r="S38" s="3">
        <v>279.93</v>
      </c>
      <c r="T38" s="3">
        <v>329</v>
      </c>
      <c r="U38" s="3">
        <v>8</v>
      </c>
      <c r="V38" t="s">
        <v>96</v>
      </c>
    </row>
    <row r="39" spans="1:22" x14ac:dyDescent="0.3">
      <c r="A39" t="s">
        <v>122</v>
      </c>
      <c r="B39" s="1">
        <v>46114</v>
      </c>
      <c r="C39" t="s">
        <v>23</v>
      </c>
      <c r="D39" t="s">
        <v>59</v>
      </c>
      <c r="E39" t="s">
        <v>60</v>
      </c>
      <c r="F39" t="s">
        <v>35</v>
      </c>
      <c r="G39" t="s">
        <v>36</v>
      </c>
      <c r="H39">
        <v>1</v>
      </c>
      <c r="I39" s="3">
        <v>299</v>
      </c>
      <c r="J39" s="4">
        <v>15</v>
      </c>
      <c r="K39" s="3">
        <v>254</v>
      </c>
      <c r="L39" s="3">
        <v>254</v>
      </c>
      <c r="M39" t="s">
        <v>28</v>
      </c>
      <c r="N39" t="s">
        <v>29</v>
      </c>
      <c r="O39" s="3">
        <v>55</v>
      </c>
      <c r="P39" t="s">
        <v>30</v>
      </c>
      <c r="Q39" s="3">
        <v>16.78</v>
      </c>
      <c r="R39" s="3">
        <v>114.96</v>
      </c>
      <c r="S39" s="3">
        <v>67.260000000000005</v>
      </c>
      <c r="T39" s="3">
        <v>254</v>
      </c>
      <c r="U39" s="3">
        <v>14</v>
      </c>
      <c r="V39" t="s">
        <v>31</v>
      </c>
    </row>
    <row r="40" spans="1:22" x14ac:dyDescent="0.3">
      <c r="A40" t="s">
        <v>123</v>
      </c>
      <c r="B40" s="1">
        <v>46286</v>
      </c>
      <c r="C40" t="s">
        <v>86</v>
      </c>
      <c r="D40" t="s">
        <v>40</v>
      </c>
      <c r="E40" t="s">
        <v>41</v>
      </c>
      <c r="F40" t="s">
        <v>42</v>
      </c>
      <c r="G40" t="s">
        <v>27</v>
      </c>
      <c r="H40">
        <v>1</v>
      </c>
      <c r="I40" s="3">
        <v>449</v>
      </c>
      <c r="J40" s="4">
        <v>10</v>
      </c>
      <c r="K40" s="3">
        <v>404</v>
      </c>
      <c r="L40" s="3">
        <v>404</v>
      </c>
      <c r="M40" t="s">
        <v>28</v>
      </c>
      <c r="N40" t="s">
        <v>29</v>
      </c>
      <c r="O40" s="3">
        <v>45</v>
      </c>
      <c r="P40" t="s">
        <v>30</v>
      </c>
      <c r="Q40" s="3">
        <v>31.91</v>
      </c>
      <c r="R40" s="3">
        <v>198.84</v>
      </c>
      <c r="S40" s="3">
        <v>128.25</v>
      </c>
      <c r="T40" s="3">
        <v>404</v>
      </c>
      <c r="U40" s="3">
        <v>39</v>
      </c>
      <c r="V40" t="s">
        <v>87</v>
      </c>
    </row>
    <row r="41" spans="1:22" x14ac:dyDescent="0.3">
      <c r="A41" t="s">
        <v>124</v>
      </c>
      <c r="B41" s="1">
        <v>46057</v>
      </c>
      <c r="C41" t="s">
        <v>95</v>
      </c>
      <c r="D41" t="s">
        <v>53</v>
      </c>
      <c r="E41" t="s">
        <v>54</v>
      </c>
      <c r="F41" t="s">
        <v>42</v>
      </c>
      <c r="G41" t="s">
        <v>27</v>
      </c>
      <c r="H41">
        <v>3</v>
      </c>
      <c r="I41" s="3">
        <v>499</v>
      </c>
      <c r="J41" s="4">
        <v>35</v>
      </c>
      <c r="K41" s="3">
        <v>324</v>
      </c>
      <c r="L41" s="3">
        <v>972</v>
      </c>
      <c r="M41" t="s">
        <v>76</v>
      </c>
      <c r="N41" t="s">
        <v>29</v>
      </c>
      <c r="O41" s="3">
        <v>55</v>
      </c>
      <c r="P41" t="s">
        <v>30</v>
      </c>
      <c r="Q41" s="3">
        <v>42.96</v>
      </c>
      <c r="R41" s="3">
        <v>431.77</v>
      </c>
      <c r="S41" s="3">
        <v>442.27</v>
      </c>
      <c r="T41" s="3">
        <v>324</v>
      </c>
      <c r="U41" s="3">
        <v>6</v>
      </c>
      <c r="V41" t="s">
        <v>96</v>
      </c>
    </row>
    <row r="42" spans="1:22" x14ac:dyDescent="0.3">
      <c r="A42" t="s">
        <v>125</v>
      </c>
      <c r="B42" s="1">
        <v>46228</v>
      </c>
      <c r="C42" t="s">
        <v>45</v>
      </c>
      <c r="D42" t="s">
        <v>112</v>
      </c>
      <c r="E42" t="s">
        <v>47</v>
      </c>
      <c r="F42" t="s">
        <v>109</v>
      </c>
      <c r="G42" t="s">
        <v>110</v>
      </c>
      <c r="H42">
        <v>1</v>
      </c>
      <c r="I42" s="3">
        <v>299</v>
      </c>
      <c r="J42" s="4">
        <v>15</v>
      </c>
      <c r="K42" s="3">
        <v>254</v>
      </c>
      <c r="L42" s="3">
        <v>254</v>
      </c>
      <c r="M42" t="s">
        <v>76</v>
      </c>
      <c r="N42" t="s">
        <v>37</v>
      </c>
      <c r="O42" s="3">
        <v>45</v>
      </c>
      <c r="P42" t="s">
        <v>30</v>
      </c>
      <c r="Q42" s="3">
        <v>13.48</v>
      </c>
      <c r="R42" s="3">
        <v>119.83</v>
      </c>
      <c r="S42" s="3">
        <v>75.69</v>
      </c>
      <c r="T42" s="3">
        <v>254</v>
      </c>
      <c r="U42" s="3">
        <v>30</v>
      </c>
      <c r="V42" t="s">
        <v>50</v>
      </c>
    </row>
    <row r="43" spans="1:22" x14ac:dyDescent="0.3">
      <c r="A43" t="s">
        <v>126</v>
      </c>
      <c r="B43" s="1">
        <v>46103</v>
      </c>
      <c r="C43" t="s">
        <v>39</v>
      </c>
      <c r="D43" t="s">
        <v>93</v>
      </c>
      <c r="E43" t="s">
        <v>47</v>
      </c>
      <c r="F43" t="s">
        <v>35</v>
      </c>
      <c r="G43" t="s">
        <v>36</v>
      </c>
      <c r="H43">
        <v>1</v>
      </c>
      <c r="I43" s="3">
        <v>699</v>
      </c>
      <c r="J43" s="4">
        <v>15</v>
      </c>
      <c r="K43" s="3">
        <v>594</v>
      </c>
      <c r="L43" s="3">
        <v>594</v>
      </c>
      <c r="M43" t="s">
        <v>69</v>
      </c>
      <c r="N43" t="s">
        <v>37</v>
      </c>
      <c r="O43" s="3">
        <v>45</v>
      </c>
      <c r="P43" t="s">
        <v>70</v>
      </c>
      <c r="Q43" s="3">
        <v>40.14</v>
      </c>
      <c r="R43" s="3">
        <v>297.02999999999997</v>
      </c>
      <c r="S43" s="3">
        <v>211.83</v>
      </c>
      <c r="T43" s="3">
        <v>594</v>
      </c>
      <c r="U43" s="3">
        <v>12</v>
      </c>
      <c r="V43" t="s">
        <v>43</v>
      </c>
    </row>
    <row r="44" spans="1:22" x14ac:dyDescent="0.3">
      <c r="A44" t="s">
        <v>127</v>
      </c>
      <c r="B44" s="1">
        <v>46072</v>
      </c>
      <c r="C44" t="s">
        <v>95</v>
      </c>
      <c r="D44" t="s">
        <v>115</v>
      </c>
      <c r="E44" t="s">
        <v>116</v>
      </c>
      <c r="F44" t="s">
        <v>42</v>
      </c>
      <c r="G44" t="s">
        <v>27</v>
      </c>
      <c r="H44">
        <v>3</v>
      </c>
      <c r="I44" s="3">
        <v>249</v>
      </c>
      <c r="J44" s="4">
        <v>10</v>
      </c>
      <c r="K44" s="3">
        <v>224</v>
      </c>
      <c r="L44" s="3">
        <v>672</v>
      </c>
      <c r="M44" t="s">
        <v>102</v>
      </c>
      <c r="N44" t="s">
        <v>37</v>
      </c>
      <c r="O44" s="3">
        <v>35</v>
      </c>
      <c r="P44" t="s">
        <v>30</v>
      </c>
      <c r="Q44" s="3">
        <v>52.05</v>
      </c>
      <c r="R44" s="3">
        <v>285.73</v>
      </c>
      <c r="S44" s="3">
        <v>299.22000000000003</v>
      </c>
      <c r="T44" s="3">
        <v>224</v>
      </c>
      <c r="U44" s="3">
        <v>8</v>
      </c>
      <c r="V44" t="s">
        <v>96</v>
      </c>
    </row>
    <row r="45" spans="1:22" x14ac:dyDescent="0.3">
      <c r="A45" t="s">
        <v>128</v>
      </c>
      <c r="B45" s="1">
        <v>46024</v>
      </c>
      <c r="C45" t="s">
        <v>52</v>
      </c>
      <c r="D45" t="s">
        <v>46</v>
      </c>
      <c r="E45" t="s">
        <v>47</v>
      </c>
      <c r="F45" t="s">
        <v>79</v>
      </c>
      <c r="G45" t="s">
        <v>80</v>
      </c>
      <c r="H45">
        <v>2</v>
      </c>
      <c r="I45" s="3">
        <v>899</v>
      </c>
      <c r="J45" s="4">
        <v>25</v>
      </c>
      <c r="K45" s="3">
        <v>674</v>
      </c>
      <c r="L45" s="3">
        <v>1348</v>
      </c>
      <c r="M45" t="s">
        <v>76</v>
      </c>
      <c r="N45" t="s">
        <v>29</v>
      </c>
      <c r="O45" s="3">
        <v>55</v>
      </c>
      <c r="P45" t="s">
        <v>30</v>
      </c>
      <c r="Q45" s="3">
        <v>97.86</v>
      </c>
      <c r="R45" s="3">
        <v>576.96</v>
      </c>
      <c r="S45" s="3">
        <v>618.17999999999995</v>
      </c>
      <c r="T45" s="3">
        <v>674</v>
      </c>
      <c r="U45" s="3">
        <v>1</v>
      </c>
      <c r="V45" t="s">
        <v>57</v>
      </c>
    </row>
    <row r="46" spans="1:22" x14ac:dyDescent="0.3">
      <c r="A46" t="s">
        <v>129</v>
      </c>
      <c r="B46" s="1">
        <v>46076</v>
      </c>
      <c r="C46" t="s">
        <v>95</v>
      </c>
      <c r="D46" t="s">
        <v>130</v>
      </c>
      <c r="E46" t="s">
        <v>54</v>
      </c>
      <c r="F46" t="s">
        <v>109</v>
      </c>
      <c r="G46" t="s">
        <v>110</v>
      </c>
      <c r="H46">
        <v>2</v>
      </c>
      <c r="I46" s="3">
        <v>699</v>
      </c>
      <c r="J46" s="4">
        <v>20</v>
      </c>
      <c r="K46" s="3">
        <v>559</v>
      </c>
      <c r="L46" s="3">
        <v>1118</v>
      </c>
      <c r="M46" t="s">
        <v>76</v>
      </c>
      <c r="N46" t="s">
        <v>29</v>
      </c>
      <c r="O46" s="3">
        <v>35</v>
      </c>
      <c r="P46" t="s">
        <v>30</v>
      </c>
      <c r="Q46" s="3">
        <v>52.05</v>
      </c>
      <c r="R46" s="3">
        <v>518.6</v>
      </c>
      <c r="S46" s="3">
        <v>512.35</v>
      </c>
      <c r="T46" s="3">
        <v>559</v>
      </c>
      <c r="U46" s="3">
        <v>9</v>
      </c>
      <c r="V46" t="s">
        <v>96</v>
      </c>
    </row>
    <row r="47" spans="1:22" x14ac:dyDescent="0.3">
      <c r="A47" t="s">
        <v>131</v>
      </c>
      <c r="B47" s="1">
        <v>46128</v>
      </c>
      <c r="C47" t="s">
        <v>23</v>
      </c>
      <c r="D47" t="s">
        <v>59</v>
      </c>
      <c r="E47" t="s">
        <v>60</v>
      </c>
      <c r="F47" t="s">
        <v>55</v>
      </c>
      <c r="G47" t="s">
        <v>56</v>
      </c>
      <c r="H47">
        <v>1</v>
      </c>
      <c r="I47" s="3">
        <v>299</v>
      </c>
      <c r="J47" s="4">
        <v>20</v>
      </c>
      <c r="K47" s="3">
        <v>239</v>
      </c>
      <c r="L47" s="3">
        <v>239</v>
      </c>
      <c r="M47" t="s">
        <v>28</v>
      </c>
      <c r="N47" t="s">
        <v>37</v>
      </c>
      <c r="O47" s="3">
        <v>55</v>
      </c>
      <c r="P47" t="s">
        <v>30</v>
      </c>
      <c r="Q47" s="3">
        <v>18.89</v>
      </c>
      <c r="R47" s="3">
        <v>108.43</v>
      </c>
      <c r="S47" s="3">
        <v>56.68</v>
      </c>
      <c r="T47" s="3">
        <v>239</v>
      </c>
      <c r="U47" s="3">
        <v>16</v>
      </c>
      <c r="V47" t="s">
        <v>31</v>
      </c>
    </row>
    <row r="48" spans="1:22" x14ac:dyDescent="0.3">
      <c r="A48" t="s">
        <v>132</v>
      </c>
      <c r="B48" s="1">
        <v>46282</v>
      </c>
      <c r="C48" t="s">
        <v>86</v>
      </c>
      <c r="D48" t="s">
        <v>115</v>
      </c>
      <c r="E48" t="s">
        <v>116</v>
      </c>
      <c r="F48" t="s">
        <v>100</v>
      </c>
      <c r="G48" t="s">
        <v>101</v>
      </c>
      <c r="H48">
        <v>1</v>
      </c>
      <c r="I48" s="3">
        <v>249</v>
      </c>
      <c r="J48" s="4">
        <v>20</v>
      </c>
      <c r="K48" s="3">
        <v>199</v>
      </c>
      <c r="L48" s="3">
        <v>199</v>
      </c>
      <c r="M48" t="s">
        <v>28</v>
      </c>
      <c r="N48" t="s">
        <v>37</v>
      </c>
      <c r="O48" s="3">
        <v>45</v>
      </c>
      <c r="P48" t="s">
        <v>30</v>
      </c>
      <c r="Q48" s="3">
        <v>13.16</v>
      </c>
      <c r="R48" s="3">
        <v>90.19</v>
      </c>
      <c r="S48" s="3">
        <v>50.65</v>
      </c>
      <c r="T48" s="3">
        <v>199</v>
      </c>
      <c r="U48" s="3">
        <v>38</v>
      </c>
      <c r="V48" t="s">
        <v>87</v>
      </c>
    </row>
    <row r="49" spans="1:22" x14ac:dyDescent="0.3">
      <c r="A49" t="s">
        <v>133</v>
      </c>
      <c r="B49" s="1">
        <v>46213</v>
      </c>
      <c r="C49" t="s">
        <v>45</v>
      </c>
      <c r="D49" t="s">
        <v>33</v>
      </c>
      <c r="E49" t="s">
        <v>34</v>
      </c>
      <c r="F49" t="s">
        <v>84</v>
      </c>
      <c r="G49" t="s">
        <v>84</v>
      </c>
      <c r="H49">
        <v>1</v>
      </c>
      <c r="I49" s="3">
        <v>599</v>
      </c>
      <c r="J49" s="4">
        <v>20</v>
      </c>
      <c r="K49" s="3">
        <v>479</v>
      </c>
      <c r="L49" s="3">
        <v>479</v>
      </c>
      <c r="M49" t="s">
        <v>28</v>
      </c>
      <c r="N49" t="s">
        <v>37</v>
      </c>
      <c r="O49" s="3">
        <v>45</v>
      </c>
      <c r="P49" t="s">
        <v>30</v>
      </c>
      <c r="Q49" s="3">
        <v>19.75</v>
      </c>
      <c r="R49" s="3">
        <v>213.52</v>
      </c>
      <c r="S49" s="3">
        <v>200.73</v>
      </c>
      <c r="T49" s="3">
        <v>479</v>
      </c>
      <c r="U49" s="3">
        <v>28</v>
      </c>
      <c r="V49" t="s">
        <v>50</v>
      </c>
    </row>
    <row r="50" spans="1:22" x14ac:dyDescent="0.3">
      <c r="A50" t="s">
        <v>134</v>
      </c>
      <c r="B50" s="1">
        <v>46240</v>
      </c>
      <c r="C50" t="s">
        <v>67</v>
      </c>
      <c r="D50" t="s">
        <v>63</v>
      </c>
      <c r="E50" t="s">
        <v>47</v>
      </c>
      <c r="F50" t="s">
        <v>68</v>
      </c>
      <c r="G50" t="s">
        <v>27</v>
      </c>
      <c r="H50">
        <v>2</v>
      </c>
      <c r="I50" s="3">
        <v>399</v>
      </c>
      <c r="J50" s="4">
        <v>20</v>
      </c>
      <c r="K50" s="3">
        <v>319</v>
      </c>
      <c r="L50" s="3">
        <v>638</v>
      </c>
      <c r="M50" t="s">
        <v>28</v>
      </c>
      <c r="N50" t="s">
        <v>37</v>
      </c>
      <c r="O50" s="3">
        <v>65</v>
      </c>
      <c r="P50" t="s">
        <v>30</v>
      </c>
      <c r="Q50" s="3">
        <v>45.11</v>
      </c>
      <c r="R50" s="3">
        <v>300.17</v>
      </c>
      <c r="S50" s="3">
        <v>227.72</v>
      </c>
      <c r="T50" s="3">
        <v>319</v>
      </c>
      <c r="U50" s="3">
        <v>32</v>
      </c>
      <c r="V50" t="s">
        <v>71</v>
      </c>
    </row>
    <row r="51" spans="1:22" x14ac:dyDescent="0.3">
      <c r="A51" t="s">
        <v>135</v>
      </c>
      <c r="B51" s="1">
        <v>46066</v>
      </c>
      <c r="C51" t="s">
        <v>95</v>
      </c>
      <c r="D51" t="s">
        <v>74</v>
      </c>
      <c r="E51" t="s">
        <v>75</v>
      </c>
      <c r="F51" t="s">
        <v>48</v>
      </c>
      <c r="G51" t="s">
        <v>49</v>
      </c>
      <c r="H51">
        <v>1</v>
      </c>
      <c r="I51" s="3">
        <v>549</v>
      </c>
      <c r="J51" s="4">
        <v>25</v>
      </c>
      <c r="K51" s="3">
        <v>412</v>
      </c>
      <c r="L51" s="3">
        <v>412</v>
      </c>
      <c r="M51" t="s">
        <v>28</v>
      </c>
      <c r="N51" t="s">
        <v>29</v>
      </c>
      <c r="O51" s="3">
        <v>45</v>
      </c>
      <c r="P51" t="s">
        <v>30</v>
      </c>
      <c r="Q51" s="3">
        <v>26.33</v>
      </c>
      <c r="R51" s="3">
        <v>205.71</v>
      </c>
      <c r="S51" s="3">
        <v>134.96</v>
      </c>
      <c r="T51" s="3">
        <v>412</v>
      </c>
      <c r="U51" s="3">
        <v>7</v>
      </c>
      <c r="V51" t="s">
        <v>96</v>
      </c>
    </row>
    <row r="52" spans="1:22" x14ac:dyDescent="0.3">
      <c r="A52" t="s">
        <v>136</v>
      </c>
      <c r="B52" s="1">
        <v>46184</v>
      </c>
      <c r="C52" t="s">
        <v>78</v>
      </c>
      <c r="D52" t="s">
        <v>74</v>
      </c>
      <c r="E52" t="s">
        <v>75</v>
      </c>
      <c r="F52" t="s">
        <v>84</v>
      </c>
      <c r="G52" t="s">
        <v>84</v>
      </c>
      <c r="H52">
        <v>1</v>
      </c>
      <c r="I52" s="3">
        <v>549</v>
      </c>
      <c r="J52" s="4">
        <v>20</v>
      </c>
      <c r="K52" s="3">
        <v>439</v>
      </c>
      <c r="L52" s="3">
        <v>439</v>
      </c>
      <c r="M52" t="s">
        <v>28</v>
      </c>
      <c r="N52" t="s">
        <v>37</v>
      </c>
      <c r="O52" s="3">
        <v>45</v>
      </c>
      <c r="P52" t="s">
        <v>30</v>
      </c>
      <c r="Q52" s="3">
        <v>28.65</v>
      </c>
      <c r="R52" s="3">
        <v>216.56</v>
      </c>
      <c r="S52" s="3">
        <v>148.79</v>
      </c>
      <c r="T52" s="3">
        <v>439</v>
      </c>
      <c r="U52" s="3">
        <v>24</v>
      </c>
      <c r="V52" t="s">
        <v>81</v>
      </c>
    </row>
    <row r="53" spans="1:22" x14ac:dyDescent="0.3">
      <c r="A53" t="s">
        <v>137</v>
      </c>
      <c r="B53" s="1">
        <v>46224</v>
      </c>
      <c r="C53" t="s">
        <v>45</v>
      </c>
      <c r="D53" t="s">
        <v>40</v>
      </c>
      <c r="E53" t="s">
        <v>41</v>
      </c>
      <c r="F53" t="s">
        <v>35</v>
      </c>
      <c r="G53" t="s">
        <v>36</v>
      </c>
      <c r="H53">
        <v>2</v>
      </c>
      <c r="I53" s="3">
        <v>449</v>
      </c>
      <c r="J53" s="4">
        <v>10</v>
      </c>
      <c r="K53" s="3">
        <v>404</v>
      </c>
      <c r="L53" s="3">
        <v>808</v>
      </c>
      <c r="M53" t="s">
        <v>28</v>
      </c>
      <c r="N53" t="s">
        <v>37</v>
      </c>
      <c r="O53" s="3">
        <v>45</v>
      </c>
      <c r="P53" t="s">
        <v>30</v>
      </c>
      <c r="Q53" s="3">
        <v>48.89</v>
      </c>
      <c r="R53" s="3">
        <v>372.73</v>
      </c>
      <c r="S53" s="3">
        <v>341.38</v>
      </c>
      <c r="T53" s="3">
        <v>404</v>
      </c>
      <c r="U53" s="3">
        <v>30</v>
      </c>
      <c r="V53" t="s">
        <v>50</v>
      </c>
    </row>
    <row r="54" spans="1:22" x14ac:dyDescent="0.3">
      <c r="A54" t="s">
        <v>138</v>
      </c>
      <c r="B54" s="1">
        <v>46237</v>
      </c>
      <c r="C54" t="s">
        <v>67</v>
      </c>
      <c r="D54" t="s">
        <v>53</v>
      </c>
      <c r="E54" t="s">
        <v>54</v>
      </c>
      <c r="F54" t="s">
        <v>109</v>
      </c>
      <c r="G54" t="s">
        <v>110</v>
      </c>
      <c r="H54">
        <v>2</v>
      </c>
      <c r="I54" s="3">
        <v>499</v>
      </c>
      <c r="J54" s="4">
        <v>20</v>
      </c>
      <c r="K54" s="3">
        <v>399</v>
      </c>
      <c r="L54" s="3">
        <v>798</v>
      </c>
      <c r="M54" t="s">
        <v>28</v>
      </c>
      <c r="N54" t="s">
        <v>29</v>
      </c>
      <c r="O54" s="3">
        <v>35</v>
      </c>
      <c r="P54" t="s">
        <v>30</v>
      </c>
      <c r="Q54" s="3">
        <v>53.07</v>
      </c>
      <c r="R54" s="3">
        <v>342.76</v>
      </c>
      <c r="S54" s="3">
        <v>367.17</v>
      </c>
      <c r="T54" s="3">
        <v>399</v>
      </c>
      <c r="U54" s="3">
        <v>32</v>
      </c>
      <c r="V54" t="s">
        <v>71</v>
      </c>
    </row>
    <row r="55" spans="1:22" x14ac:dyDescent="0.3">
      <c r="A55" t="s">
        <v>139</v>
      </c>
      <c r="B55" s="1">
        <v>46274</v>
      </c>
      <c r="C55" t="s">
        <v>86</v>
      </c>
      <c r="D55" t="s">
        <v>53</v>
      </c>
      <c r="E55" t="s">
        <v>54</v>
      </c>
      <c r="F55" t="s">
        <v>48</v>
      </c>
      <c r="G55" t="s">
        <v>49</v>
      </c>
      <c r="H55">
        <v>1</v>
      </c>
      <c r="I55" s="3">
        <v>499</v>
      </c>
      <c r="J55" s="4">
        <v>35</v>
      </c>
      <c r="K55" s="3">
        <v>324</v>
      </c>
      <c r="L55" s="3">
        <v>324</v>
      </c>
      <c r="M55" t="s">
        <v>28</v>
      </c>
      <c r="N55" t="s">
        <v>29</v>
      </c>
      <c r="O55" s="3">
        <v>35</v>
      </c>
      <c r="P55" t="s">
        <v>30</v>
      </c>
      <c r="Q55" s="3">
        <v>22.98</v>
      </c>
      <c r="R55" s="3">
        <v>140.32</v>
      </c>
      <c r="S55" s="3">
        <v>125.7</v>
      </c>
      <c r="T55" s="3">
        <v>324</v>
      </c>
      <c r="U55" s="3">
        <v>37</v>
      </c>
      <c r="V55" t="s">
        <v>87</v>
      </c>
    </row>
    <row r="56" spans="1:22" x14ac:dyDescent="0.3">
      <c r="A56" t="s">
        <v>140</v>
      </c>
      <c r="B56" s="1">
        <v>46212</v>
      </c>
      <c r="C56" t="s">
        <v>45</v>
      </c>
      <c r="D56" t="s">
        <v>33</v>
      </c>
      <c r="E56" t="s">
        <v>34</v>
      </c>
      <c r="F56" t="s">
        <v>68</v>
      </c>
      <c r="G56" t="s">
        <v>27</v>
      </c>
      <c r="H56">
        <v>1</v>
      </c>
      <c r="I56" s="3">
        <v>599</v>
      </c>
      <c r="J56" s="4">
        <v>10</v>
      </c>
      <c r="K56" s="3">
        <v>539</v>
      </c>
      <c r="L56" s="3">
        <v>539</v>
      </c>
      <c r="M56" t="s">
        <v>28</v>
      </c>
      <c r="N56" t="s">
        <v>37</v>
      </c>
      <c r="O56" s="3">
        <v>45</v>
      </c>
      <c r="P56" t="s">
        <v>30</v>
      </c>
      <c r="Q56" s="3">
        <v>35.99</v>
      </c>
      <c r="R56" s="3">
        <v>234.24</v>
      </c>
      <c r="S56" s="3">
        <v>223.77</v>
      </c>
      <c r="T56" s="3">
        <v>539</v>
      </c>
      <c r="U56" s="3">
        <v>28</v>
      </c>
      <c r="V56" t="s">
        <v>50</v>
      </c>
    </row>
    <row r="57" spans="1:22" x14ac:dyDescent="0.3">
      <c r="A57" t="s">
        <v>141</v>
      </c>
      <c r="B57" s="1">
        <v>46235</v>
      </c>
      <c r="C57" t="s">
        <v>67</v>
      </c>
      <c r="D57" t="s">
        <v>40</v>
      </c>
      <c r="E57" t="s">
        <v>41</v>
      </c>
      <c r="F57" t="s">
        <v>42</v>
      </c>
      <c r="G57" t="s">
        <v>27</v>
      </c>
      <c r="H57">
        <v>1</v>
      </c>
      <c r="I57" s="3">
        <v>449</v>
      </c>
      <c r="J57" s="4">
        <v>20</v>
      </c>
      <c r="K57" s="3">
        <v>359</v>
      </c>
      <c r="L57" s="3">
        <v>359</v>
      </c>
      <c r="M57" t="s">
        <v>28</v>
      </c>
      <c r="N57" t="s">
        <v>37</v>
      </c>
      <c r="O57" s="3">
        <v>55</v>
      </c>
      <c r="P57" t="s">
        <v>30</v>
      </c>
      <c r="Q57" s="3">
        <v>24.93</v>
      </c>
      <c r="R57" s="3">
        <v>174.61</v>
      </c>
      <c r="S57" s="3">
        <v>104.46</v>
      </c>
      <c r="T57" s="3">
        <v>359</v>
      </c>
      <c r="U57" s="3">
        <v>31</v>
      </c>
      <c r="V57" t="s">
        <v>71</v>
      </c>
    </row>
    <row r="58" spans="1:22" x14ac:dyDescent="0.3">
      <c r="A58" t="s">
        <v>142</v>
      </c>
      <c r="B58" s="1">
        <v>46230</v>
      </c>
      <c r="C58" t="s">
        <v>45</v>
      </c>
      <c r="D58" t="s">
        <v>93</v>
      </c>
      <c r="E58" t="s">
        <v>47</v>
      </c>
      <c r="F58" t="s">
        <v>79</v>
      </c>
      <c r="G58" t="s">
        <v>80</v>
      </c>
      <c r="H58">
        <v>2</v>
      </c>
      <c r="I58" s="3">
        <v>699</v>
      </c>
      <c r="J58" s="4">
        <v>25</v>
      </c>
      <c r="K58" s="3">
        <v>524</v>
      </c>
      <c r="L58" s="3">
        <v>1048</v>
      </c>
      <c r="M58" t="s">
        <v>64</v>
      </c>
      <c r="N58" t="s">
        <v>29</v>
      </c>
      <c r="O58" s="3">
        <v>65</v>
      </c>
      <c r="P58" t="s">
        <v>30</v>
      </c>
      <c r="Q58" s="3">
        <v>64.55</v>
      </c>
      <c r="R58" s="3">
        <v>443.74</v>
      </c>
      <c r="S58" s="3">
        <v>474.71</v>
      </c>
      <c r="T58" s="3">
        <v>524</v>
      </c>
      <c r="U58" s="3">
        <v>31</v>
      </c>
      <c r="V58" t="s">
        <v>50</v>
      </c>
    </row>
    <row r="59" spans="1:22" x14ac:dyDescent="0.3">
      <c r="A59" t="s">
        <v>143</v>
      </c>
      <c r="B59" s="1">
        <v>46259</v>
      </c>
      <c r="C59" t="s">
        <v>67</v>
      </c>
      <c r="D59" t="s">
        <v>53</v>
      </c>
      <c r="E59" t="s">
        <v>54</v>
      </c>
      <c r="F59" t="s">
        <v>100</v>
      </c>
      <c r="G59" t="s">
        <v>101</v>
      </c>
      <c r="H59">
        <v>2</v>
      </c>
      <c r="I59" s="3">
        <v>499</v>
      </c>
      <c r="J59" s="4">
        <v>5</v>
      </c>
      <c r="K59" s="3">
        <v>474</v>
      </c>
      <c r="L59" s="3">
        <v>948</v>
      </c>
      <c r="M59" t="s">
        <v>28</v>
      </c>
      <c r="N59" t="s">
        <v>37</v>
      </c>
      <c r="O59" s="3">
        <v>45</v>
      </c>
      <c r="P59" t="s">
        <v>30</v>
      </c>
      <c r="Q59" s="3">
        <v>44.75</v>
      </c>
      <c r="R59" s="3">
        <v>406.56</v>
      </c>
      <c r="S59" s="3">
        <v>451.69</v>
      </c>
      <c r="T59" s="3">
        <v>474</v>
      </c>
      <c r="U59" s="3">
        <v>35</v>
      </c>
      <c r="V59" t="s">
        <v>71</v>
      </c>
    </row>
    <row r="60" spans="1:22" x14ac:dyDescent="0.3">
      <c r="A60" t="s">
        <v>144</v>
      </c>
      <c r="B60" s="1">
        <v>46075</v>
      </c>
      <c r="C60" t="s">
        <v>95</v>
      </c>
      <c r="D60" t="s">
        <v>74</v>
      </c>
      <c r="E60" t="s">
        <v>75</v>
      </c>
      <c r="F60" t="s">
        <v>68</v>
      </c>
      <c r="G60" t="s">
        <v>27</v>
      </c>
      <c r="H60">
        <v>1</v>
      </c>
      <c r="I60" s="3">
        <v>549</v>
      </c>
      <c r="J60" s="4">
        <v>20</v>
      </c>
      <c r="K60" s="3">
        <v>439</v>
      </c>
      <c r="L60" s="3">
        <v>439</v>
      </c>
      <c r="M60" t="s">
        <v>76</v>
      </c>
      <c r="N60" t="s">
        <v>29</v>
      </c>
      <c r="O60" s="3">
        <v>45</v>
      </c>
      <c r="P60" t="s">
        <v>30</v>
      </c>
      <c r="Q60" s="3">
        <v>34.270000000000003</v>
      </c>
      <c r="R60" s="3">
        <v>212.44</v>
      </c>
      <c r="S60" s="3">
        <v>147.29</v>
      </c>
      <c r="T60" s="3">
        <v>439</v>
      </c>
      <c r="U60" s="3">
        <v>8</v>
      </c>
      <c r="V60" t="s">
        <v>96</v>
      </c>
    </row>
    <row r="61" spans="1:22" x14ac:dyDescent="0.3">
      <c r="A61" t="s">
        <v>145</v>
      </c>
      <c r="B61" s="1">
        <v>46239</v>
      </c>
      <c r="C61" t="s">
        <v>67</v>
      </c>
      <c r="D61" t="s">
        <v>40</v>
      </c>
      <c r="E61" t="s">
        <v>41</v>
      </c>
      <c r="F61" t="s">
        <v>26</v>
      </c>
      <c r="G61" t="s">
        <v>27</v>
      </c>
      <c r="H61">
        <v>1</v>
      </c>
      <c r="I61" s="3">
        <v>449</v>
      </c>
      <c r="J61" s="4">
        <v>20</v>
      </c>
      <c r="K61" s="3">
        <v>359</v>
      </c>
      <c r="L61" s="3">
        <v>359</v>
      </c>
      <c r="M61" t="s">
        <v>28</v>
      </c>
      <c r="N61" t="s">
        <v>37</v>
      </c>
      <c r="O61" s="3">
        <v>45</v>
      </c>
      <c r="P61" t="s">
        <v>30</v>
      </c>
      <c r="Q61" s="3">
        <v>18.78</v>
      </c>
      <c r="R61" s="3">
        <v>176.08</v>
      </c>
      <c r="S61" s="3">
        <v>119.14</v>
      </c>
      <c r="T61" s="3">
        <v>359</v>
      </c>
      <c r="U61" s="3">
        <v>32</v>
      </c>
      <c r="V61" t="s">
        <v>71</v>
      </c>
    </row>
    <row r="62" spans="1:22" x14ac:dyDescent="0.3">
      <c r="A62" t="s">
        <v>146</v>
      </c>
      <c r="B62" s="1">
        <v>46274</v>
      </c>
      <c r="C62" t="s">
        <v>86</v>
      </c>
      <c r="D62" t="s">
        <v>115</v>
      </c>
      <c r="E62" t="s">
        <v>116</v>
      </c>
      <c r="F62" t="s">
        <v>79</v>
      </c>
      <c r="G62" t="s">
        <v>80</v>
      </c>
      <c r="H62">
        <v>3</v>
      </c>
      <c r="I62" s="3">
        <v>249</v>
      </c>
      <c r="J62" s="4">
        <v>10</v>
      </c>
      <c r="K62" s="3">
        <v>224</v>
      </c>
      <c r="L62" s="3">
        <v>672</v>
      </c>
      <c r="M62" t="s">
        <v>76</v>
      </c>
      <c r="N62" t="s">
        <v>37</v>
      </c>
      <c r="O62" s="3">
        <v>65</v>
      </c>
      <c r="P62" t="s">
        <v>30</v>
      </c>
      <c r="Q62" s="3">
        <v>33.19</v>
      </c>
      <c r="R62" s="3">
        <v>346.98</v>
      </c>
      <c r="S62" s="3">
        <v>226.83</v>
      </c>
      <c r="T62" s="3">
        <v>224</v>
      </c>
      <c r="U62" s="3">
        <v>37</v>
      </c>
      <c r="V62" t="s">
        <v>87</v>
      </c>
    </row>
    <row r="63" spans="1:22" x14ac:dyDescent="0.3">
      <c r="A63" t="s">
        <v>147</v>
      </c>
      <c r="B63" s="1">
        <v>46210</v>
      </c>
      <c r="C63" t="s">
        <v>45</v>
      </c>
      <c r="D63" t="s">
        <v>93</v>
      </c>
      <c r="E63" t="s">
        <v>47</v>
      </c>
      <c r="F63" t="s">
        <v>55</v>
      </c>
      <c r="G63" t="s">
        <v>56</v>
      </c>
      <c r="H63">
        <v>3</v>
      </c>
      <c r="I63" s="3">
        <v>699</v>
      </c>
      <c r="J63" s="4">
        <v>20</v>
      </c>
      <c r="K63" s="3">
        <v>559</v>
      </c>
      <c r="L63" s="3">
        <v>1677</v>
      </c>
      <c r="M63" t="s">
        <v>28</v>
      </c>
      <c r="N63" t="s">
        <v>37</v>
      </c>
      <c r="O63" s="3">
        <v>45</v>
      </c>
      <c r="P63" t="s">
        <v>30</v>
      </c>
      <c r="Q63" s="3">
        <v>108.53</v>
      </c>
      <c r="R63" s="3">
        <v>850.06</v>
      </c>
      <c r="S63" s="3">
        <v>673.41</v>
      </c>
      <c r="T63" s="3">
        <v>559</v>
      </c>
      <c r="U63" s="3">
        <v>28</v>
      </c>
      <c r="V63" t="s">
        <v>50</v>
      </c>
    </row>
    <row r="64" spans="1:22" x14ac:dyDescent="0.3">
      <c r="A64" t="s">
        <v>148</v>
      </c>
      <c r="B64" s="1">
        <v>46063</v>
      </c>
      <c r="C64" t="s">
        <v>95</v>
      </c>
      <c r="D64" t="s">
        <v>59</v>
      </c>
      <c r="E64" t="s">
        <v>60</v>
      </c>
      <c r="F64" t="s">
        <v>79</v>
      </c>
      <c r="G64" t="s">
        <v>80</v>
      </c>
      <c r="H64">
        <v>2</v>
      </c>
      <c r="I64" s="3">
        <v>299</v>
      </c>
      <c r="J64" s="4">
        <v>35</v>
      </c>
      <c r="K64" s="3">
        <v>194</v>
      </c>
      <c r="L64" s="3">
        <v>388</v>
      </c>
      <c r="M64" t="s">
        <v>28</v>
      </c>
      <c r="N64" t="s">
        <v>29</v>
      </c>
      <c r="O64" s="3">
        <v>55</v>
      </c>
      <c r="P64" t="s">
        <v>30</v>
      </c>
      <c r="Q64" s="3">
        <v>25.75</v>
      </c>
      <c r="R64" s="3">
        <v>178.24</v>
      </c>
      <c r="S64" s="3">
        <v>129.01</v>
      </c>
      <c r="T64" s="3">
        <v>194</v>
      </c>
      <c r="U64" s="3">
        <v>7</v>
      </c>
      <c r="V64" t="s">
        <v>96</v>
      </c>
    </row>
    <row r="65" spans="1:22" x14ac:dyDescent="0.3">
      <c r="A65" t="s">
        <v>149</v>
      </c>
      <c r="B65" s="1">
        <v>46179</v>
      </c>
      <c r="C65" t="s">
        <v>78</v>
      </c>
      <c r="D65" t="s">
        <v>24</v>
      </c>
      <c r="E65" t="s">
        <v>25</v>
      </c>
      <c r="F65" t="s">
        <v>26</v>
      </c>
      <c r="G65" t="s">
        <v>27</v>
      </c>
      <c r="H65">
        <v>3</v>
      </c>
      <c r="I65" s="3">
        <v>349</v>
      </c>
      <c r="J65" s="4">
        <v>5</v>
      </c>
      <c r="K65" s="3">
        <v>332</v>
      </c>
      <c r="L65" s="3">
        <v>996</v>
      </c>
      <c r="M65" t="s">
        <v>69</v>
      </c>
      <c r="N65" t="s">
        <v>37</v>
      </c>
      <c r="O65" s="3">
        <v>35</v>
      </c>
      <c r="P65" t="s">
        <v>70</v>
      </c>
      <c r="Q65" s="3">
        <v>79.41</v>
      </c>
      <c r="R65" s="3">
        <v>493.26</v>
      </c>
      <c r="S65" s="3">
        <v>388.33</v>
      </c>
      <c r="T65" s="3">
        <v>332</v>
      </c>
      <c r="U65" s="3">
        <v>23</v>
      </c>
      <c r="V65" t="s">
        <v>81</v>
      </c>
    </row>
    <row r="66" spans="1:22" x14ac:dyDescent="0.3">
      <c r="A66" t="s">
        <v>150</v>
      </c>
      <c r="B66" s="1">
        <v>46037</v>
      </c>
      <c r="C66" t="s">
        <v>52</v>
      </c>
      <c r="D66" t="s">
        <v>53</v>
      </c>
      <c r="E66" t="s">
        <v>54</v>
      </c>
      <c r="F66" t="s">
        <v>35</v>
      </c>
      <c r="G66" t="s">
        <v>36</v>
      </c>
      <c r="H66">
        <v>1</v>
      </c>
      <c r="I66" s="3">
        <v>499</v>
      </c>
      <c r="J66" s="4">
        <v>30</v>
      </c>
      <c r="K66" s="3">
        <v>349</v>
      </c>
      <c r="L66" s="3">
        <v>349</v>
      </c>
      <c r="M66" t="s">
        <v>69</v>
      </c>
      <c r="N66" t="s">
        <v>29</v>
      </c>
      <c r="O66" s="3">
        <v>55</v>
      </c>
      <c r="P66" t="s">
        <v>70</v>
      </c>
      <c r="Q66" s="3">
        <v>25.24</v>
      </c>
      <c r="R66" s="3">
        <v>173.18</v>
      </c>
      <c r="S66" s="3">
        <v>95.58</v>
      </c>
      <c r="T66" s="3">
        <v>349</v>
      </c>
      <c r="U66" s="3">
        <v>3</v>
      </c>
      <c r="V66" t="s">
        <v>57</v>
      </c>
    </row>
    <row r="67" spans="1:22" x14ac:dyDescent="0.3">
      <c r="A67" t="s">
        <v>151</v>
      </c>
      <c r="B67" s="1">
        <v>46087</v>
      </c>
      <c r="C67" t="s">
        <v>39</v>
      </c>
      <c r="D67" t="s">
        <v>74</v>
      </c>
      <c r="E67" t="s">
        <v>75</v>
      </c>
      <c r="F67" t="s">
        <v>42</v>
      </c>
      <c r="G67" t="s">
        <v>27</v>
      </c>
      <c r="H67">
        <v>1</v>
      </c>
      <c r="I67" s="3">
        <v>549</v>
      </c>
      <c r="J67" s="4">
        <v>20</v>
      </c>
      <c r="K67" s="3">
        <v>439</v>
      </c>
      <c r="L67" s="3">
        <v>439</v>
      </c>
      <c r="M67" t="s">
        <v>28</v>
      </c>
      <c r="N67" t="s">
        <v>37</v>
      </c>
      <c r="O67" s="3">
        <v>55</v>
      </c>
      <c r="P67" t="s">
        <v>30</v>
      </c>
      <c r="Q67" s="3">
        <v>28.63</v>
      </c>
      <c r="R67" s="3">
        <v>211.15</v>
      </c>
      <c r="S67" s="3">
        <v>144.22</v>
      </c>
      <c r="T67" s="3">
        <v>439</v>
      </c>
      <c r="U67" s="3">
        <v>10</v>
      </c>
      <c r="V67" t="s">
        <v>43</v>
      </c>
    </row>
    <row r="68" spans="1:22" x14ac:dyDescent="0.3">
      <c r="A68" t="s">
        <v>152</v>
      </c>
      <c r="B68" s="1">
        <v>46031</v>
      </c>
      <c r="C68" t="s">
        <v>52</v>
      </c>
      <c r="D68" t="s">
        <v>74</v>
      </c>
      <c r="E68" t="s">
        <v>75</v>
      </c>
      <c r="F68" t="s">
        <v>48</v>
      </c>
      <c r="G68" t="s">
        <v>49</v>
      </c>
      <c r="H68">
        <v>1</v>
      </c>
      <c r="I68" s="3">
        <v>549</v>
      </c>
      <c r="J68" s="4">
        <v>20</v>
      </c>
      <c r="K68" s="3">
        <v>439</v>
      </c>
      <c r="L68" s="3">
        <v>439</v>
      </c>
      <c r="M68" t="s">
        <v>28</v>
      </c>
      <c r="N68" t="s">
        <v>29</v>
      </c>
      <c r="O68" s="3">
        <v>45</v>
      </c>
      <c r="P68" t="s">
        <v>30</v>
      </c>
      <c r="Q68" s="3">
        <v>18.850000000000001</v>
      </c>
      <c r="R68" s="3">
        <v>210.87</v>
      </c>
      <c r="S68" s="3">
        <v>164.28</v>
      </c>
      <c r="T68" s="3">
        <v>439</v>
      </c>
      <c r="U68" s="3">
        <v>2</v>
      </c>
      <c r="V68" t="s">
        <v>57</v>
      </c>
    </row>
    <row r="69" spans="1:22" x14ac:dyDescent="0.3">
      <c r="A69" t="s">
        <v>153</v>
      </c>
      <c r="B69" s="1">
        <v>46151</v>
      </c>
      <c r="C69" t="s">
        <v>62</v>
      </c>
      <c r="D69" t="s">
        <v>24</v>
      </c>
      <c r="E69" t="s">
        <v>25</v>
      </c>
      <c r="F69" t="s">
        <v>26</v>
      </c>
      <c r="G69" t="s">
        <v>27</v>
      </c>
      <c r="H69">
        <v>1</v>
      </c>
      <c r="I69" s="3">
        <v>349</v>
      </c>
      <c r="J69" s="4">
        <v>20</v>
      </c>
      <c r="K69" s="3">
        <v>279</v>
      </c>
      <c r="L69" s="3">
        <v>279</v>
      </c>
      <c r="M69" t="s">
        <v>64</v>
      </c>
      <c r="N69" t="s">
        <v>29</v>
      </c>
      <c r="O69" s="3">
        <v>65</v>
      </c>
      <c r="P69" t="s">
        <v>30</v>
      </c>
      <c r="Q69" s="3">
        <v>20.61</v>
      </c>
      <c r="R69" s="3">
        <v>142.69</v>
      </c>
      <c r="S69" s="3">
        <v>50.7</v>
      </c>
      <c r="T69" s="3">
        <v>279</v>
      </c>
      <c r="U69" s="3">
        <v>19</v>
      </c>
      <c r="V69" t="s">
        <v>65</v>
      </c>
    </row>
    <row r="70" spans="1:22" x14ac:dyDescent="0.3">
      <c r="A70" t="s">
        <v>154</v>
      </c>
      <c r="B70" s="1">
        <v>46158</v>
      </c>
      <c r="C70" t="s">
        <v>62</v>
      </c>
      <c r="D70" t="s">
        <v>53</v>
      </c>
      <c r="E70" t="s">
        <v>54</v>
      </c>
      <c r="F70" t="s">
        <v>100</v>
      </c>
      <c r="G70" t="s">
        <v>101</v>
      </c>
      <c r="H70">
        <v>1</v>
      </c>
      <c r="I70" s="3">
        <v>499</v>
      </c>
      <c r="J70" s="4">
        <v>25</v>
      </c>
      <c r="K70" s="3">
        <v>374</v>
      </c>
      <c r="L70" s="3">
        <v>374</v>
      </c>
      <c r="M70" t="s">
        <v>28</v>
      </c>
      <c r="N70" t="s">
        <v>29</v>
      </c>
      <c r="O70" s="3">
        <v>55</v>
      </c>
      <c r="P70" t="s">
        <v>30</v>
      </c>
      <c r="Q70" s="3">
        <v>20.86</v>
      </c>
      <c r="R70" s="3">
        <v>177.63</v>
      </c>
      <c r="S70" s="3">
        <v>120.51</v>
      </c>
      <c r="T70" s="3">
        <v>374</v>
      </c>
      <c r="U70" s="3">
        <v>20</v>
      </c>
      <c r="V70" t="s">
        <v>65</v>
      </c>
    </row>
    <row r="71" spans="1:22" x14ac:dyDescent="0.3">
      <c r="A71" t="s">
        <v>155</v>
      </c>
      <c r="B71" s="1">
        <v>46085</v>
      </c>
      <c r="C71" t="s">
        <v>39</v>
      </c>
      <c r="D71" t="s">
        <v>59</v>
      </c>
      <c r="E71" t="s">
        <v>60</v>
      </c>
      <c r="F71" t="s">
        <v>100</v>
      </c>
      <c r="G71" t="s">
        <v>101</v>
      </c>
      <c r="H71">
        <v>1</v>
      </c>
      <c r="I71" s="3">
        <v>299</v>
      </c>
      <c r="J71" s="4">
        <v>5</v>
      </c>
      <c r="K71" s="3">
        <v>284</v>
      </c>
      <c r="L71" s="3">
        <v>284</v>
      </c>
      <c r="M71" t="s">
        <v>76</v>
      </c>
      <c r="N71" t="s">
        <v>37</v>
      </c>
      <c r="O71" s="3">
        <v>65</v>
      </c>
      <c r="P71" t="s">
        <v>30</v>
      </c>
      <c r="Q71" s="3">
        <v>22.2</v>
      </c>
      <c r="R71" s="3">
        <v>137.87</v>
      </c>
      <c r="S71" s="3">
        <v>58.93</v>
      </c>
      <c r="T71" s="3">
        <v>284</v>
      </c>
      <c r="U71" s="3">
        <v>10</v>
      </c>
      <c r="V71" t="s">
        <v>43</v>
      </c>
    </row>
    <row r="72" spans="1:22" x14ac:dyDescent="0.3">
      <c r="A72" t="s">
        <v>156</v>
      </c>
      <c r="B72" s="1">
        <v>46161</v>
      </c>
      <c r="C72" t="s">
        <v>62</v>
      </c>
      <c r="D72" t="s">
        <v>130</v>
      </c>
      <c r="E72" t="s">
        <v>54</v>
      </c>
      <c r="F72" t="s">
        <v>100</v>
      </c>
      <c r="G72" t="s">
        <v>101</v>
      </c>
      <c r="H72">
        <v>1</v>
      </c>
      <c r="I72" s="3">
        <v>699</v>
      </c>
      <c r="J72" s="4">
        <v>15</v>
      </c>
      <c r="K72" s="3">
        <v>594</v>
      </c>
      <c r="L72" s="3">
        <v>594</v>
      </c>
      <c r="M72" t="s">
        <v>28</v>
      </c>
      <c r="N72" t="s">
        <v>37</v>
      </c>
      <c r="O72" s="3">
        <v>65</v>
      </c>
      <c r="P72" t="s">
        <v>30</v>
      </c>
      <c r="Q72" s="3">
        <v>29.86</v>
      </c>
      <c r="R72" s="3">
        <v>266.39999999999998</v>
      </c>
      <c r="S72" s="3">
        <v>232.74</v>
      </c>
      <c r="T72" s="3">
        <v>594</v>
      </c>
      <c r="U72" s="3">
        <v>21</v>
      </c>
      <c r="V72" t="s">
        <v>65</v>
      </c>
    </row>
    <row r="73" spans="1:22" x14ac:dyDescent="0.3">
      <c r="A73" t="s">
        <v>157</v>
      </c>
      <c r="B73" s="1">
        <v>46103</v>
      </c>
      <c r="C73" t="s">
        <v>39</v>
      </c>
      <c r="D73" t="s">
        <v>59</v>
      </c>
      <c r="E73" t="s">
        <v>60</v>
      </c>
      <c r="F73" t="s">
        <v>84</v>
      </c>
      <c r="G73" t="s">
        <v>84</v>
      </c>
      <c r="H73">
        <v>1</v>
      </c>
      <c r="I73" s="3">
        <v>299</v>
      </c>
      <c r="J73" s="4">
        <v>10</v>
      </c>
      <c r="K73" s="3">
        <v>269</v>
      </c>
      <c r="L73" s="3">
        <v>269</v>
      </c>
      <c r="M73" t="s">
        <v>76</v>
      </c>
      <c r="N73" t="s">
        <v>37</v>
      </c>
      <c r="O73" s="3">
        <v>45</v>
      </c>
      <c r="P73" t="s">
        <v>30</v>
      </c>
      <c r="Q73" s="3">
        <v>13.69</v>
      </c>
      <c r="R73" s="3">
        <v>124.1</v>
      </c>
      <c r="S73" s="3">
        <v>86.21</v>
      </c>
      <c r="T73" s="3">
        <v>269</v>
      </c>
      <c r="U73" s="3">
        <v>12</v>
      </c>
      <c r="V73" t="s">
        <v>43</v>
      </c>
    </row>
    <row r="74" spans="1:22" x14ac:dyDescent="0.3">
      <c r="A74" t="s">
        <v>158</v>
      </c>
      <c r="B74" s="1">
        <v>46185</v>
      </c>
      <c r="C74" t="s">
        <v>78</v>
      </c>
      <c r="D74" t="s">
        <v>33</v>
      </c>
      <c r="E74" t="s">
        <v>34</v>
      </c>
      <c r="F74" t="s">
        <v>55</v>
      </c>
      <c r="G74" t="s">
        <v>56</v>
      </c>
      <c r="H74">
        <v>1</v>
      </c>
      <c r="I74" s="3">
        <v>599</v>
      </c>
      <c r="J74" s="4">
        <v>15</v>
      </c>
      <c r="K74" s="3">
        <v>509</v>
      </c>
      <c r="L74" s="3">
        <v>509</v>
      </c>
      <c r="M74" t="s">
        <v>28</v>
      </c>
      <c r="N74" t="s">
        <v>37</v>
      </c>
      <c r="O74" s="3">
        <v>55</v>
      </c>
      <c r="P74" t="s">
        <v>30</v>
      </c>
      <c r="Q74" s="3">
        <v>26.37</v>
      </c>
      <c r="R74" s="3">
        <v>254.16</v>
      </c>
      <c r="S74" s="3">
        <v>173.47</v>
      </c>
      <c r="T74" s="3">
        <v>509</v>
      </c>
      <c r="U74" s="3">
        <v>24</v>
      </c>
      <c r="V74" t="s">
        <v>81</v>
      </c>
    </row>
    <row r="75" spans="1:22" x14ac:dyDescent="0.3">
      <c r="A75" t="s">
        <v>159</v>
      </c>
      <c r="B75" s="1">
        <v>46283</v>
      </c>
      <c r="C75" t="s">
        <v>86</v>
      </c>
      <c r="D75" t="s">
        <v>40</v>
      </c>
      <c r="E75" t="s">
        <v>41</v>
      </c>
      <c r="F75" t="s">
        <v>35</v>
      </c>
      <c r="G75" t="s">
        <v>36</v>
      </c>
      <c r="H75">
        <v>1</v>
      </c>
      <c r="I75" s="3">
        <v>449</v>
      </c>
      <c r="J75" s="4">
        <v>10</v>
      </c>
      <c r="K75" s="3">
        <v>404</v>
      </c>
      <c r="L75" s="3">
        <v>404</v>
      </c>
      <c r="M75" t="s">
        <v>64</v>
      </c>
      <c r="N75" t="s">
        <v>29</v>
      </c>
      <c r="O75" s="3">
        <v>65</v>
      </c>
      <c r="P75" t="s">
        <v>30</v>
      </c>
      <c r="Q75" s="3">
        <v>16.86</v>
      </c>
      <c r="R75" s="3">
        <v>195.26</v>
      </c>
      <c r="S75" s="3">
        <v>126.88</v>
      </c>
      <c r="T75" s="3">
        <v>404</v>
      </c>
      <c r="U75" s="3">
        <v>38</v>
      </c>
      <c r="V75" t="s">
        <v>87</v>
      </c>
    </row>
    <row r="76" spans="1:22" x14ac:dyDescent="0.3">
      <c r="A76" t="s">
        <v>160</v>
      </c>
      <c r="B76" s="1">
        <v>46253</v>
      </c>
      <c r="C76" t="s">
        <v>67</v>
      </c>
      <c r="D76" t="s">
        <v>115</v>
      </c>
      <c r="E76" t="s">
        <v>116</v>
      </c>
      <c r="F76" t="s">
        <v>109</v>
      </c>
      <c r="G76" t="s">
        <v>110</v>
      </c>
      <c r="H76">
        <v>2</v>
      </c>
      <c r="I76" s="3">
        <v>249</v>
      </c>
      <c r="J76" s="4">
        <v>35</v>
      </c>
      <c r="K76" s="3">
        <v>162</v>
      </c>
      <c r="L76" s="3">
        <v>324</v>
      </c>
      <c r="M76" t="s">
        <v>28</v>
      </c>
      <c r="N76" t="s">
        <v>37</v>
      </c>
      <c r="O76" s="3">
        <v>35</v>
      </c>
      <c r="P76" t="s">
        <v>30</v>
      </c>
      <c r="Q76" s="3">
        <v>21.34</v>
      </c>
      <c r="R76" s="3">
        <v>141.74</v>
      </c>
      <c r="S76" s="3">
        <v>125.92</v>
      </c>
      <c r="T76" s="3">
        <v>162</v>
      </c>
      <c r="U76" s="3">
        <v>34</v>
      </c>
      <c r="V76" t="s">
        <v>71</v>
      </c>
    </row>
    <row r="77" spans="1:22" x14ac:dyDescent="0.3">
      <c r="A77" t="s">
        <v>161</v>
      </c>
      <c r="B77" s="1">
        <v>46063</v>
      </c>
      <c r="C77" t="s">
        <v>95</v>
      </c>
      <c r="D77" t="s">
        <v>24</v>
      </c>
      <c r="E77" t="s">
        <v>25</v>
      </c>
      <c r="F77" t="s">
        <v>79</v>
      </c>
      <c r="G77" t="s">
        <v>80</v>
      </c>
      <c r="H77">
        <v>2</v>
      </c>
      <c r="I77" s="3">
        <v>349</v>
      </c>
      <c r="J77" s="4">
        <v>20</v>
      </c>
      <c r="K77" s="3">
        <v>279</v>
      </c>
      <c r="L77" s="3">
        <v>558</v>
      </c>
      <c r="M77" t="s">
        <v>28</v>
      </c>
      <c r="N77" t="s">
        <v>37</v>
      </c>
      <c r="O77" s="3">
        <v>65</v>
      </c>
      <c r="P77" t="s">
        <v>30</v>
      </c>
      <c r="Q77" s="3">
        <v>28.45</v>
      </c>
      <c r="R77" s="3">
        <v>280.26</v>
      </c>
      <c r="S77" s="3">
        <v>184.29</v>
      </c>
      <c r="T77" s="3">
        <v>279</v>
      </c>
      <c r="U77" s="3">
        <v>7</v>
      </c>
      <c r="V77" t="s">
        <v>96</v>
      </c>
    </row>
    <row r="78" spans="1:22" x14ac:dyDescent="0.3">
      <c r="A78" t="s">
        <v>162</v>
      </c>
      <c r="B78" s="1">
        <v>46050</v>
      </c>
      <c r="C78" t="s">
        <v>52</v>
      </c>
      <c r="D78" t="s">
        <v>24</v>
      </c>
      <c r="E78" t="s">
        <v>25</v>
      </c>
      <c r="F78" t="s">
        <v>48</v>
      </c>
      <c r="G78" t="s">
        <v>49</v>
      </c>
      <c r="H78">
        <v>1</v>
      </c>
      <c r="I78" s="3">
        <v>349</v>
      </c>
      <c r="J78" s="4">
        <v>25</v>
      </c>
      <c r="K78" s="3">
        <v>262</v>
      </c>
      <c r="L78" s="3">
        <v>262</v>
      </c>
      <c r="M78" t="s">
        <v>28</v>
      </c>
      <c r="N78" t="s">
        <v>29</v>
      </c>
      <c r="O78" s="3">
        <v>45</v>
      </c>
      <c r="P78" t="s">
        <v>30</v>
      </c>
      <c r="Q78" s="3">
        <v>12.08</v>
      </c>
      <c r="R78" s="3">
        <v>116.2</v>
      </c>
      <c r="S78" s="3">
        <v>88.72</v>
      </c>
      <c r="T78" s="3">
        <v>262</v>
      </c>
      <c r="U78" s="3">
        <v>5</v>
      </c>
      <c r="V78" t="s">
        <v>57</v>
      </c>
    </row>
    <row r="79" spans="1:22" x14ac:dyDescent="0.3">
      <c r="A79" t="s">
        <v>163</v>
      </c>
      <c r="B79" s="1">
        <v>46157</v>
      </c>
      <c r="C79" t="s">
        <v>62</v>
      </c>
      <c r="D79" t="s">
        <v>93</v>
      </c>
      <c r="E79" t="s">
        <v>47</v>
      </c>
      <c r="F79" t="s">
        <v>55</v>
      </c>
      <c r="G79" t="s">
        <v>56</v>
      </c>
      <c r="H79">
        <v>1</v>
      </c>
      <c r="I79" s="3">
        <v>699</v>
      </c>
      <c r="J79" s="4">
        <v>10</v>
      </c>
      <c r="K79" s="3">
        <v>629</v>
      </c>
      <c r="L79" s="3">
        <v>629</v>
      </c>
      <c r="M79" t="s">
        <v>28</v>
      </c>
      <c r="N79" t="s">
        <v>37</v>
      </c>
      <c r="O79" s="3">
        <v>55</v>
      </c>
      <c r="P79" t="s">
        <v>30</v>
      </c>
      <c r="Q79" s="3">
        <v>40.43</v>
      </c>
      <c r="R79" s="3">
        <v>298.57</v>
      </c>
      <c r="S79" s="3">
        <v>235</v>
      </c>
      <c r="T79" s="3">
        <v>629</v>
      </c>
      <c r="U79" s="3">
        <v>20</v>
      </c>
      <c r="V79" t="s">
        <v>65</v>
      </c>
    </row>
    <row r="80" spans="1:22" x14ac:dyDescent="0.3">
      <c r="A80" t="s">
        <v>164</v>
      </c>
      <c r="B80" s="1">
        <v>46223</v>
      </c>
      <c r="C80" t="s">
        <v>45</v>
      </c>
      <c r="D80" t="s">
        <v>53</v>
      </c>
      <c r="E80" t="s">
        <v>54</v>
      </c>
      <c r="F80" t="s">
        <v>48</v>
      </c>
      <c r="G80" t="s">
        <v>49</v>
      </c>
      <c r="H80">
        <v>3</v>
      </c>
      <c r="I80" s="3">
        <v>499</v>
      </c>
      <c r="J80" s="4">
        <v>10</v>
      </c>
      <c r="K80" s="3">
        <v>449</v>
      </c>
      <c r="L80" s="3">
        <v>1347</v>
      </c>
      <c r="M80" t="s">
        <v>76</v>
      </c>
      <c r="N80" t="s">
        <v>29</v>
      </c>
      <c r="O80" s="3">
        <v>55</v>
      </c>
      <c r="P80" t="s">
        <v>30</v>
      </c>
      <c r="Q80" s="3">
        <v>77.73</v>
      </c>
      <c r="R80" s="3">
        <v>625.79</v>
      </c>
      <c r="S80" s="3">
        <v>588.48</v>
      </c>
      <c r="T80" s="3">
        <v>449</v>
      </c>
      <c r="U80" s="3">
        <v>30</v>
      </c>
      <c r="V80" t="s">
        <v>50</v>
      </c>
    </row>
    <row r="81" spans="1:22" x14ac:dyDescent="0.3">
      <c r="A81" t="s">
        <v>165</v>
      </c>
      <c r="B81" s="1">
        <v>46055</v>
      </c>
      <c r="C81" t="s">
        <v>95</v>
      </c>
      <c r="D81" t="s">
        <v>33</v>
      </c>
      <c r="E81" t="s">
        <v>34</v>
      </c>
      <c r="F81" t="s">
        <v>55</v>
      </c>
      <c r="G81" t="s">
        <v>56</v>
      </c>
      <c r="H81">
        <v>1</v>
      </c>
      <c r="I81" s="3">
        <v>599</v>
      </c>
      <c r="J81" s="4">
        <v>30</v>
      </c>
      <c r="K81" s="3">
        <v>419</v>
      </c>
      <c r="L81" s="3">
        <v>419</v>
      </c>
      <c r="M81" t="s">
        <v>28</v>
      </c>
      <c r="N81" t="s">
        <v>37</v>
      </c>
      <c r="O81" s="3">
        <v>45</v>
      </c>
      <c r="P81" t="s">
        <v>30</v>
      </c>
      <c r="Q81" s="3">
        <v>26.45</v>
      </c>
      <c r="R81" s="3">
        <v>187.47</v>
      </c>
      <c r="S81" s="3">
        <v>160.08000000000001</v>
      </c>
      <c r="T81" s="3">
        <v>419</v>
      </c>
      <c r="U81" s="3">
        <v>6</v>
      </c>
      <c r="V81" t="s">
        <v>96</v>
      </c>
    </row>
    <row r="82" spans="1:22" x14ac:dyDescent="0.3">
      <c r="A82" t="s">
        <v>166</v>
      </c>
      <c r="B82" s="1">
        <v>46070</v>
      </c>
      <c r="C82" t="s">
        <v>95</v>
      </c>
      <c r="D82" t="s">
        <v>40</v>
      </c>
      <c r="E82" t="s">
        <v>41</v>
      </c>
      <c r="F82" t="s">
        <v>100</v>
      </c>
      <c r="G82" t="s">
        <v>101</v>
      </c>
      <c r="H82">
        <v>2</v>
      </c>
      <c r="I82" s="3">
        <v>449</v>
      </c>
      <c r="J82" s="4">
        <v>15</v>
      </c>
      <c r="K82" s="3">
        <v>382</v>
      </c>
      <c r="L82" s="3">
        <v>764</v>
      </c>
      <c r="M82" t="s">
        <v>28</v>
      </c>
      <c r="N82" t="s">
        <v>37</v>
      </c>
      <c r="O82" s="3">
        <v>55</v>
      </c>
      <c r="P82" t="s">
        <v>30</v>
      </c>
      <c r="Q82" s="3">
        <v>41.06</v>
      </c>
      <c r="R82" s="3">
        <v>368.03</v>
      </c>
      <c r="S82" s="3">
        <v>299.91000000000003</v>
      </c>
      <c r="T82" s="3">
        <v>382</v>
      </c>
      <c r="U82" s="3">
        <v>8</v>
      </c>
      <c r="V82" t="s">
        <v>96</v>
      </c>
    </row>
    <row r="83" spans="1:22" x14ac:dyDescent="0.3">
      <c r="A83" t="s">
        <v>167</v>
      </c>
      <c r="B83" s="1">
        <v>46084</v>
      </c>
      <c r="C83" t="s">
        <v>39</v>
      </c>
      <c r="D83" t="s">
        <v>59</v>
      </c>
      <c r="E83" t="s">
        <v>60</v>
      </c>
      <c r="F83" t="s">
        <v>26</v>
      </c>
      <c r="G83" t="s">
        <v>27</v>
      </c>
      <c r="H83">
        <v>1</v>
      </c>
      <c r="I83" s="3">
        <v>299</v>
      </c>
      <c r="J83" s="4">
        <v>10</v>
      </c>
      <c r="K83" s="3">
        <v>269</v>
      </c>
      <c r="L83" s="3">
        <v>269</v>
      </c>
      <c r="M83" t="s">
        <v>76</v>
      </c>
      <c r="N83" t="s">
        <v>37</v>
      </c>
      <c r="O83" s="3">
        <v>65</v>
      </c>
      <c r="P83" t="s">
        <v>30</v>
      </c>
      <c r="Q83" s="3">
        <v>20.23</v>
      </c>
      <c r="R83" s="3">
        <v>130.49</v>
      </c>
      <c r="S83" s="3">
        <v>53.28</v>
      </c>
      <c r="T83" s="3">
        <v>269</v>
      </c>
      <c r="U83" s="3">
        <v>10</v>
      </c>
      <c r="V83" t="s">
        <v>43</v>
      </c>
    </row>
    <row r="84" spans="1:22" x14ac:dyDescent="0.3">
      <c r="A84" t="s">
        <v>168</v>
      </c>
      <c r="B84" s="1">
        <v>46238</v>
      </c>
      <c r="C84" t="s">
        <v>67</v>
      </c>
      <c r="D84" t="s">
        <v>24</v>
      </c>
      <c r="E84" t="s">
        <v>25</v>
      </c>
      <c r="F84" t="s">
        <v>84</v>
      </c>
      <c r="G84" t="s">
        <v>84</v>
      </c>
      <c r="H84">
        <v>1</v>
      </c>
      <c r="I84" s="3">
        <v>349</v>
      </c>
      <c r="J84" s="4">
        <v>5</v>
      </c>
      <c r="K84" s="3">
        <v>332</v>
      </c>
      <c r="L84" s="3">
        <v>332</v>
      </c>
      <c r="M84" t="s">
        <v>28</v>
      </c>
      <c r="N84" t="s">
        <v>37</v>
      </c>
      <c r="O84" s="3">
        <v>45</v>
      </c>
      <c r="P84" t="s">
        <v>30</v>
      </c>
      <c r="Q84" s="3">
        <v>20.69</v>
      </c>
      <c r="R84" s="3">
        <v>163.69999999999999</v>
      </c>
      <c r="S84" s="3">
        <v>102.61</v>
      </c>
      <c r="T84" s="3">
        <v>332</v>
      </c>
      <c r="U84" s="3">
        <v>32</v>
      </c>
      <c r="V84" t="s">
        <v>71</v>
      </c>
    </row>
    <row r="85" spans="1:22" x14ac:dyDescent="0.3">
      <c r="A85" t="s">
        <v>169</v>
      </c>
      <c r="B85" s="1">
        <v>46121</v>
      </c>
      <c r="C85" t="s">
        <v>23</v>
      </c>
      <c r="D85" t="s">
        <v>40</v>
      </c>
      <c r="E85" t="s">
        <v>41</v>
      </c>
      <c r="F85" t="s">
        <v>109</v>
      </c>
      <c r="G85" t="s">
        <v>110</v>
      </c>
      <c r="H85">
        <v>1</v>
      </c>
      <c r="I85" s="3">
        <v>449</v>
      </c>
      <c r="J85" s="4">
        <v>40</v>
      </c>
      <c r="K85" s="3">
        <v>269</v>
      </c>
      <c r="L85" s="3">
        <v>269</v>
      </c>
      <c r="M85" t="s">
        <v>28</v>
      </c>
      <c r="N85" t="s">
        <v>37</v>
      </c>
      <c r="O85" s="3">
        <v>55</v>
      </c>
      <c r="P85" t="s">
        <v>30</v>
      </c>
      <c r="Q85" s="3">
        <v>18.88</v>
      </c>
      <c r="R85" s="3">
        <v>117.57</v>
      </c>
      <c r="S85" s="3">
        <v>77.55</v>
      </c>
      <c r="T85" s="3">
        <v>269</v>
      </c>
      <c r="U85" s="3">
        <v>15</v>
      </c>
      <c r="V85" t="s">
        <v>31</v>
      </c>
    </row>
    <row r="86" spans="1:22" x14ac:dyDescent="0.3">
      <c r="A86" t="s">
        <v>170</v>
      </c>
      <c r="B86" s="1">
        <v>46194</v>
      </c>
      <c r="C86" t="s">
        <v>78</v>
      </c>
      <c r="D86" t="s">
        <v>53</v>
      </c>
      <c r="E86" t="s">
        <v>54</v>
      </c>
      <c r="F86" t="s">
        <v>55</v>
      </c>
      <c r="G86" t="s">
        <v>56</v>
      </c>
      <c r="H86">
        <v>2</v>
      </c>
      <c r="I86" s="3">
        <v>499</v>
      </c>
      <c r="J86" s="4">
        <v>15</v>
      </c>
      <c r="K86" s="3">
        <v>424</v>
      </c>
      <c r="L86" s="3">
        <v>848</v>
      </c>
      <c r="M86" t="s">
        <v>76</v>
      </c>
      <c r="N86" t="s">
        <v>37</v>
      </c>
      <c r="O86" s="3">
        <v>65</v>
      </c>
      <c r="P86" t="s">
        <v>30</v>
      </c>
      <c r="Q86" s="3">
        <v>50.03</v>
      </c>
      <c r="R86" s="3">
        <v>388.6</v>
      </c>
      <c r="S86" s="3">
        <v>344.37</v>
      </c>
      <c r="T86" s="3">
        <v>424</v>
      </c>
      <c r="U86" s="3">
        <v>25</v>
      </c>
      <c r="V86" t="s">
        <v>81</v>
      </c>
    </row>
    <row r="87" spans="1:22" x14ac:dyDescent="0.3">
      <c r="A87" t="s">
        <v>171</v>
      </c>
      <c r="B87" s="1">
        <v>46236</v>
      </c>
      <c r="C87" t="s">
        <v>67</v>
      </c>
      <c r="D87" t="s">
        <v>74</v>
      </c>
      <c r="E87" t="s">
        <v>75</v>
      </c>
      <c r="F87" t="s">
        <v>79</v>
      </c>
      <c r="G87" t="s">
        <v>80</v>
      </c>
      <c r="H87">
        <v>1</v>
      </c>
      <c r="I87" s="3">
        <v>549</v>
      </c>
      <c r="J87" s="4">
        <v>30</v>
      </c>
      <c r="K87" s="3">
        <v>384</v>
      </c>
      <c r="L87" s="3">
        <v>384</v>
      </c>
      <c r="M87" t="s">
        <v>76</v>
      </c>
      <c r="N87" t="s">
        <v>29</v>
      </c>
      <c r="O87" s="3">
        <v>35</v>
      </c>
      <c r="P87" t="s">
        <v>30</v>
      </c>
      <c r="Q87" s="3">
        <v>28.29</v>
      </c>
      <c r="R87" s="3">
        <v>181.28</v>
      </c>
      <c r="S87" s="3">
        <v>139.43</v>
      </c>
      <c r="T87" s="3">
        <v>384</v>
      </c>
      <c r="U87" s="3">
        <v>31</v>
      </c>
      <c r="V87" t="s">
        <v>71</v>
      </c>
    </row>
    <row r="88" spans="1:22" x14ac:dyDescent="0.3">
      <c r="A88" t="s">
        <v>172</v>
      </c>
      <c r="B88" s="1">
        <v>46057</v>
      </c>
      <c r="C88" t="s">
        <v>95</v>
      </c>
      <c r="D88" t="s">
        <v>46</v>
      </c>
      <c r="E88" t="s">
        <v>47</v>
      </c>
      <c r="F88" t="s">
        <v>79</v>
      </c>
      <c r="G88" t="s">
        <v>80</v>
      </c>
      <c r="H88">
        <v>2</v>
      </c>
      <c r="I88" s="3">
        <v>899</v>
      </c>
      <c r="J88" s="4">
        <v>10</v>
      </c>
      <c r="K88" s="3">
        <v>809</v>
      </c>
      <c r="L88" s="3">
        <v>1618</v>
      </c>
      <c r="M88" t="s">
        <v>64</v>
      </c>
      <c r="N88" t="s">
        <v>37</v>
      </c>
      <c r="O88" s="3">
        <v>45</v>
      </c>
      <c r="P88" t="s">
        <v>30</v>
      </c>
      <c r="Q88" s="3">
        <v>75.03</v>
      </c>
      <c r="R88" s="3">
        <v>689.77</v>
      </c>
      <c r="S88" s="3">
        <v>808.2</v>
      </c>
      <c r="T88" s="3">
        <v>809</v>
      </c>
      <c r="U88" s="3">
        <v>6</v>
      </c>
      <c r="V88" t="s">
        <v>96</v>
      </c>
    </row>
    <row r="89" spans="1:22" x14ac:dyDescent="0.3">
      <c r="A89" t="s">
        <v>173</v>
      </c>
      <c r="B89" s="1">
        <v>46249</v>
      </c>
      <c r="C89" t="s">
        <v>67</v>
      </c>
      <c r="D89" t="s">
        <v>115</v>
      </c>
      <c r="E89" t="s">
        <v>116</v>
      </c>
      <c r="F89" t="s">
        <v>26</v>
      </c>
      <c r="G89" t="s">
        <v>27</v>
      </c>
      <c r="H89">
        <v>1</v>
      </c>
      <c r="I89" s="3">
        <v>249</v>
      </c>
      <c r="J89" s="4">
        <v>20</v>
      </c>
      <c r="K89" s="3">
        <v>199</v>
      </c>
      <c r="L89" s="3">
        <v>199</v>
      </c>
      <c r="M89" t="s">
        <v>28</v>
      </c>
      <c r="N89" t="s">
        <v>37</v>
      </c>
      <c r="O89" s="3">
        <v>35</v>
      </c>
      <c r="P89" t="s">
        <v>30</v>
      </c>
      <c r="Q89" s="3">
        <v>12.37</v>
      </c>
      <c r="R89" s="3">
        <v>89.66</v>
      </c>
      <c r="S89" s="3">
        <v>61.97</v>
      </c>
      <c r="T89" s="3">
        <v>199</v>
      </c>
      <c r="U89" s="3">
        <v>33</v>
      </c>
      <c r="V89" t="s">
        <v>71</v>
      </c>
    </row>
    <row r="90" spans="1:22" x14ac:dyDescent="0.3">
      <c r="A90" t="s">
        <v>174</v>
      </c>
      <c r="B90" s="1">
        <v>46123</v>
      </c>
      <c r="C90" t="s">
        <v>23</v>
      </c>
      <c r="D90" t="s">
        <v>115</v>
      </c>
      <c r="E90" t="s">
        <v>116</v>
      </c>
      <c r="F90" t="s">
        <v>68</v>
      </c>
      <c r="G90" t="s">
        <v>27</v>
      </c>
      <c r="H90">
        <v>1</v>
      </c>
      <c r="I90" s="3">
        <v>249</v>
      </c>
      <c r="J90" s="4">
        <v>20</v>
      </c>
      <c r="K90" s="3">
        <v>199</v>
      </c>
      <c r="L90" s="3">
        <v>199</v>
      </c>
      <c r="M90" t="s">
        <v>102</v>
      </c>
      <c r="N90" t="s">
        <v>37</v>
      </c>
      <c r="O90" s="3">
        <v>55</v>
      </c>
      <c r="P90" t="s">
        <v>30</v>
      </c>
      <c r="Q90" s="3">
        <v>12.53</v>
      </c>
      <c r="R90" s="3">
        <v>94.85</v>
      </c>
      <c r="S90" s="3">
        <v>36.619999999999997</v>
      </c>
      <c r="T90" s="3">
        <v>199</v>
      </c>
      <c r="U90" s="3">
        <v>15</v>
      </c>
      <c r="V90" t="s">
        <v>31</v>
      </c>
    </row>
    <row r="91" spans="1:22" x14ac:dyDescent="0.3">
      <c r="A91" t="s">
        <v>175</v>
      </c>
      <c r="B91" s="1">
        <v>46153</v>
      </c>
      <c r="C91" t="s">
        <v>62</v>
      </c>
      <c r="D91" t="s">
        <v>59</v>
      </c>
      <c r="E91" t="s">
        <v>60</v>
      </c>
      <c r="F91" t="s">
        <v>42</v>
      </c>
      <c r="G91" t="s">
        <v>27</v>
      </c>
      <c r="H91">
        <v>1</v>
      </c>
      <c r="I91" s="3">
        <v>299</v>
      </c>
      <c r="J91" s="4">
        <v>30</v>
      </c>
      <c r="K91" s="3">
        <v>209</v>
      </c>
      <c r="L91" s="3">
        <v>209</v>
      </c>
      <c r="M91" t="s">
        <v>28</v>
      </c>
      <c r="N91" t="s">
        <v>37</v>
      </c>
      <c r="O91" s="3">
        <v>65</v>
      </c>
      <c r="P91" t="s">
        <v>30</v>
      </c>
      <c r="Q91" s="3">
        <v>12.81</v>
      </c>
      <c r="R91" s="3">
        <v>102.86</v>
      </c>
      <c r="S91" s="3">
        <v>28.33</v>
      </c>
      <c r="T91" s="3">
        <v>209</v>
      </c>
      <c r="U91" s="3">
        <v>20</v>
      </c>
      <c r="V91" t="s">
        <v>65</v>
      </c>
    </row>
    <row r="92" spans="1:22" x14ac:dyDescent="0.3">
      <c r="A92" t="s">
        <v>176</v>
      </c>
      <c r="B92" s="1">
        <v>46279</v>
      </c>
      <c r="C92" t="s">
        <v>86</v>
      </c>
      <c r="D92" t="s">
        <v>115</v>
      </c>
      <c r="E92" t="s">
        <v>116</v>
      </c>
      <c r="F92" t="s">
        <v>35</v>
      </c>
      <c r="G92" t="s">
        <v>36</v>
      </c>
      <c r="H92">
        <v>2</v>
      </c>
      <c r="I92" s="3">
        <v>249</v>
      </c>
      <c r="J92" s="4">
        <v>15</v>
      </c>
      <c r="K92" s="3">
        <v>212</v>
      </c>
      <c r="L92" s="3">
        <v>424</v>
      </c>
      <c r="M92" t="s">
        <v>28</v>
      </c>
      <c r="N92" t="s">
        <v>29</v>
      </c>
      <c r="O92" s="3">
        <v>55</v>
      </c>
      <c r="P92" t="s">
        <v>30</v>
      </c>
      <c r="Q92" s="3">
        <v>28.75</v>
      </c>
      <c r="R92" s="3">
        <v>192.75</v>
      </c>
      <c r="S92" s="3">
        <v>147.5</v>
      </c>
      <c r="T92" s="3">
        <v>212</v>
      </c>
      <c r="U92" s="3">
        <v>38</v>
      </c>
      <c r="V92" t="s">
        <v>87</v>
      </c>
    </row>
    <row r="93" spans="1:22" x14ac:dyDescent="0.3">
      <c r="A93" t="s">
        <v>177</v>
      </c>
      <c r="B93" s="1">
        <v>46027</v>
      </c>
      <c r="C93" t="s">
        <v>52</v>
      </c>
      <c r="D93" t="s">
        <v>24</v>
      </c>
      <c r="E93" t="s">
        <v>25</v>
      </c>
      <c r="F93" t="s">
        <v>48</v>
      </c>
      <c r="G93" t="s">
        <v>49</v>
      </c>
      <c r="H93">
        <v>1</v>
      </c>
      <c r="I93" s="3">
        <v>349</v>
      </c>
      <c r="J93" s="4">
        <v>20</v>
      </c>
      <c r="K93" s="3">
        <v>279</v>
      </c>
      <c r="L93" s="3">
        <v>279</v>
      </c>
      <c r="M93" t="s">
        <v>28</v>
      </c>
      <c r="N93" t="s">
        <v>29</v>
      </c>
      <c r="O93" s="3">
        <v>55</v>
      </c>
      <c r="P93" t="s">
        <v>30</v>
      </c>
      <c r="Q93" s="3">
        <v>16.600000000000001</v>
      </c>
      <c r="R93" s="3">
        <v>134.09</v>
      </c>
      <c r="S93" s="3">
        <v>73.31</v>
      </c>
      <c r="T93" s="3">
        <v>279</v>
      </c>
      <c r="U93" s="3">
        <v>2</v>
      </c>
      <c r="V93" t="s">
        <v>57</v>
      </c>
    </row>
    <row r="94" spans="1:22" x14ac:dyDescent="0.3">
      <c r="A94" t="s">
        <v>178</v>
      </c>
      <c r="B94" s="1">
        <v>46240</v>
      </c>
      <c r="C94" t="s">
        <v>67</v>
      </c>
      <c r="D94" t="s">
        <v>130</v>
      </c>
      <c r="E94" t="s">
        <v>54</v>
      </c>
      <c r="F94" t="s">
        <v>84</v>
      </c>
      <c r="G94" t="s">
        <v>84</v>
      </c>
      <c r="H94">
        <v>3</v>
      </c>
      <c r="I94" s="3">
        <v>699</v>
      </c>
      <c r="J94" s="4">
        <v>30</v>
      </c>
      <c r="K94" s="3">
        <v>489</v>
      </c>
      <c r="L94" s="3">
        <v>1467</v>
      </c>
      <c r="M94" t="s">
        <v>76</v>
      </c>
      <c r="N94" t="s">
        <v>37</v>
      </c>
      <c r="O94" s="3">
        <v>45</v>
      </c>
      <c r="P94" t="s">
        <v>30</v>
      </c>
      <c r="Q94" s="3">
        <v>62.68</v>
      </c>
      <c r="R94" s="3">
        <v>619.92999999999995</v>
      </c>
      <c r="S94" s="3">
        <v>739.39</v>
      </c>
      <c r="T94" s="3">
        <v>489</v>
      </c>
      <c r="U94" s="3">
        <v>32</v>
      </c>
      <c r="V94" t="s">
        <v>71</v>
      </c>
    </row>
    <row r="95" spans="1:22" x14ac:dyDescent="0.3">
      <c r="A95" t="s">
        <v>179</v>
      </c>
      <c r="B95" s="1">
        <v>46277</v>
      </c>
      <c r="C95" t="s">
        <v>86</v>
      </c>
      <c r="D95" t="s">
        <v>130</v>
      </c>
      <c r="E95" t="s">
        <v>54</v>
      </c>
      <c r="F95" t="s">
        <v>35</v>
      </c>
      <c r="G95" t="s">
        <v>36</v>
      </c>
      <c r="H95">
        <v>1</v>
      </c>
      <c r="I95" s="3">
        <v>699</v>
      </c>
      <c r="J95" s="4">
        <v>10</v>
      </c>
      <c r="K95" s="3">
        <v>629</v>
      </c>
      <c r="L95" s="3">
        <v>629</v>
      </c>
      <c r="M95" t="s">
        <v>76</v>
      </c>
      <c r="N95" t="s">
        <v>37</v>
      </c>
      <c r="O95" s="3">
        <v>35</v>
      </c>
      <c r="P95" t="s">
        <v>30</v>
      </c>
      <c r="Q95" s="3">
        <v>25.61</v>
      </c>
      <c r="R95" s="3">
        <v>302.08</v>
      </c>
      <c r="S95" s="3">
        <v>266.31</v>
      </c>
      <c r="T95" s="3">
        <v>629</v>
      </c>
      <c r="U95" s="3">
        <v>37</v>
      </c>
      <c r="V95" t="s">
        <v>87</v>
      </c>
    </row>
    <row r="96" spans="1:22" x14ac:dyDescent="0.3">
      <c r="A96" t="s">
        <v>180</v>
      </c>
      <c r="B96" s="1">
        <v>46229</v>
      </c>
      <c r="C96" t="s">
        <v>45</v>
      </c>
      <c r="D96" t="s">
        <v>74</v>
      </c>
      <c r="E96" t="s">
        <v>75</v>
      </c>
      <c r="F96" t="s">
        <v>100</v>
      </c>
      <c r="G96" t="s">
        <v>101</v>
      </c>
      <c r="H96">
        <v>2</v>
      </c>
      <c r="I96" s="3">
        <v>549</v>
      </c>
      <c r="J96" s="4">
        <v>20</v>
      </c>
      <c r="K96" s="3">
        <v>439</v>
      </c>
      <c r="L96" s="3">
        <v>878</v>
      </c>
      <c r="M96" t="s">
        <v>28</v>
      </c>
      <c r="N96" t="s">
        <v>37</v>
      </c>
      <c r="O96" s="3">
        <v>55</v>
      </c>
      <c r="P96" t="s">
        <v>30</v>
      </c>
      <c r="Q96" s="3">
        <v>61.61</v>
      </c>
      <c r="R96" s="3">
        <v>423.15</v>
      </c>
      <c r="S96" s="3">
        <v>338.24</v>
      </c>
      <c r="T96" s="3">
        <v>439</v>
      </c>
      <c r="U96" s="3">
        <v>30</v>
      </c>
      <c r="V96" t="s">
        <v>50</v>
      </c>
    </row>
    <row r="97" spans="1:22" x14ac:dyDescent="0.3">
      <c r="A97" t="s">
        <v>181</v>
      </c>
      <c r="B97" s="1">
        <v>46037</v>
      </c>
      <c r="C97" t="s">
        <v>52</v>
      </c>
      <c r="D97" t="s">
        <v>115</v>
      </c>
      <c r="E97" t="s">
        <v>116</v>
      </c>
      <c r="F97" t="s">
        <v>84</v>
      </c>
      <c r="G97" t="s">
        <v>84</v>
      </c>
      <c r="H97">
        <v>1</v>
      </c>
      <c r="I97" s="3">
        <v>249</v>
      </c>
      <c r="J97" s="4">
        <v>10</v>
      </c>
      <c r="K97" s="3">
        <v>224</v>
      </c>
      <c r="L97" s="3">
        <v>224</v>
      </c>
      <c r="M97" t="s">
        <v>76</v>
      </c>
      <c r="N97" t="s">
        <v>37</v>
      </c>
      <c r="O97" s="3">
        <v>45</v>
      </c>
      <c r="P97" t="s">
        <v>30</v>
      </c>
      <c r="Q97" s="3">
        <v>9.8699999999999992</v>
      </c>
      <c r="R97" s="3">
        <v>109.58</v>
      </c>
      <c r="S97" s="3">
        <v>59.55</v>
      </c>
      <c r="T97" s="3">
        <v>224</v>
      </c>
      <c r="U97" s="3">
        <v>3</v>
      </c>
      <c r="V97" t="s">
        <v>57</v>
      </c>
    </row>
    <row r="98" spans="1:22" x14ac:dyDescent="0.3">
      <c r="A98" t="s">
        <v>182</v>
      </c>
      <c r="B98" s="1">
        <v>46064</v>
      </c>
      <c r="C98" t="s">
        <v>95</v>
      </c>
      <c r="D98" t="s">
        <v>130</v>
      </c>
      <c r="E98" t="s">
        <v>54</v>
      </c>
      <c r="F98" t="s">
        <v>35</v>
      </c>
      <c r="G98" t="s">
        <v>36</v>
      </c>
      <c r="H98">
        <v>3</v>
      </c>
      <c r="I98" s="3">
        <v>699</v>
      </c>
      <c r="J98" s="4">
        <v>30</v>
      </c>
      <c r="K98" s="3">
        <v>489</v>
      </c>
      <c r="L98" s="3">
        <v>1467</v>
      </c>
      <c r="M98" t="s">
        <v>28</v>
      </c>
      <c r="N98" t="s">
        <v>29</v>
      </c>
      <c r="O98" s="3">
        <v>65</v>
      </c>
      <c r="P98" t="s">
        <v>30</v>
      </c>
      <c r="Q98" s="3">
        <v>68.88</v>
      </c>
      <c r="R98" s="3">
        <v>712.33</v>
      </c>
      <c r="S98" s="3">
        <v>620.79</v>
      </c>
      <c r="T98" s="3">
        <v>489</v>
      </c>
      <c r="U98" s="3">
        <v>7</v>
      </c>
      <c r="V98" t="s">
        <v>96</v>
      </c>
    </row>
    <row r="99" spans="1:22" x14ac:dyDescent="0.3">
      <c r="A99" t="s">
        <v>183</v>
      </c>
      <c r="B99" s="1">
        <v>46201</v>
      </c>
      <c r="C99" t="s">
        <v>78</v>
      </c>
      <c r="D99" t="s">
        <v>46</v>
      </c>
      <c r="E99" t="s">
        <v>47</v>
      </c>
      <c r="F99" t="s">
        <v>100</v>
      </c>
      <c r="G99" t="s">
        <v>101</v>
      </c>
      <c r="H99">
        <v>2</v>
      </c>
      <c r="I99" s="3">
        <v>899</v>
      </c>
      <c r="J99" s="4">
        <v>20</v>
      </c>
      <c r="K99" s="3">
        <v>719</v>
      </c>
      <c r="L99" s="3">
        <v>1438</v>
      </c>
      <c r="M99" t="s">
        <v>28</v>
      </c>
      <c r="N99" t="s">
        <v>37</v>
      </c>
      <c r="O99" s="3">
        <v>55</v>
      </c>
      <c r="P99" t="s">
        <v>30</v>
      </c>
      <c r="Q99" s="3">
        <v>87.75</v>
      </c>
      <c r="R99" s="3">
        <v>673.22</v>
      </c>
      <c r="S99" s="3">
        <v>622.03</v>
      </c>
      <c r="T99" s="3">
        <v>719</v>
      </c>
      <c r="U99" s="3">
        <v>26</v>
      </c>
      <c r="V99" t="s">
        <v>81</v>
      </c>
    </row>
    <row r="100" spans="1:22" x14ac:dyDescent="0.3">
      <c r="A100" t="s">
        <v>184</v>
      </c>
      <c r="B100" s="1">
        <v>46085</v>
      </c>
      <c r="C100" t="s">
        <v>39</v>
      </c>
      <c r="D100" t="s">
        <v>112</v>
      </c>
      <c r="E100" t="s">
        <v>47</v>
      </c>
      <c r="F100" t="s">
        <v>100</v>
      </c>
      <c r="G100" t="s">
        <v>101</v>
      </c>
      <c r="H100">
        <v>1</v>
      </c>
      <c r="I100" s="3">
        <v>299</v>
      </c>
      <c r="J100" s="4">
        <v>20</v>
      </c>
      <c r="K100" s="3">
        <v>239</v>
      </c>
      <c r="L100" s="3">
        <v>239</v>
      </c>
      <c r="M100" t="s">
        <v>28</v>
      </c>
      <c r="N100" t="s">
        <v>29</v>
      </c>
      <c r="O100" s="3">
        <v>45</v>
      </c>
      <c r="P100" t="s">
        <v>30</v>
      </c>
      <c r="Q100" s="3">
        <v>17.12</v>
      </c>
      <c r="R100" s="3">
        <v>114.29</v>
      </c>
      <c r="S100" s="3">
        <v>62.59</v>
      </c>
      <c r="T100" s="3">
        <v>239</v>
      </c>
      <c r="U100" s="3">
        <v>10</v>
      </c>
      <c r="V100" t="s">
        <v>43</v>
      </c>
    </row>
    <row r="101" spans="1:22" x14ac:dyDescent="0.3">
      <c r="A101" t="s">
        <v>185</v>
      </c>
      <c r="B101" s="1">
        <v>46253</v>
      </c>
      <c r="C101" t="s">
        <v>67</v>
      </c>
      <c r="D101" t="s">
        <v>40</v>
      </c>
      <c r="E101" t="s">
        <v>41</v>
      </c>
      <c r="F101" t="s">
        <v>55</v>
      </c>
      <c r="G101" t="s">
        <v>56</v>
      </c>
      <c r="H101">
        <v>1</v>
      </c>
      <c r="I101" s="3">
        <v>449</v>
      </c>
      <c r="J101" s="4">
        <v>15</v>
      </c>
      <c r="K101" s="3">
        <v>382</v>
      </c>
      <c r="L101" s="3">
        <v>382</v>
      </c>
      <c r="M101" t="s">
        <v>64</v>
      </c>
      <c r="N101" t="s">
        <v>29</v>
      </c>
      <c r="O101" s="3">
        <v>35</v>
      </c>
      <c r="P101" t="s">
        <v>30</v>
      </c>
      <c r="Q101" s="3">
        <v>30.19</v>
      </c>
      <c r="R101" s="3">
        <v>191.06</v>
      </c>
      <c r="S101" s="3">
        <v>125.75</v>
      </c>
      <c r="T101" s="3">
        <v>382</v>
      </c>
      <c r="U101" s="3">
        <v>34</v>
      </c>
      <c r="V101" t="s">
        <v>71</v>
      </c>
    </row>
    <row r="102" spans="1:22" x14ac:dyDescent="0.3">
      <c r="A102" t="s">
        <v>186</v>
      </c>
      <c r="B102" s="1">
        <v>46263</v>
      </c>
      <c r="C102" t="s">
        <v>67</v>
      </c>
      <c r="D102" t="s">
        <v>130</v>
      </c>
      <c r="E102" t="s">
        <v>54</v>
      </c>
      <c r="F102" t="s">
        <v>42</v>
      </c>
      <c r="G102" t="s">
        <v>27</v>
      </c>
      <c r="H102">
        <v>1</v>
      </c>
      <c r="I102" s="3">
        <v>699</v>
      </c>
      <c r="J102" s="4">
        <v>20</v>
      </c>
      <c r="K102" s="3">
        <v>559</v>
      </c>
      <c r="L102" s="3">
        <v>559</v>
      </c>
      <c r="M102" t="s">
        <v>28</v>
      </c>
      <c r="N102" t="s">
        <v>37</v>
      </c>
      <c r="O102" s="3">
        <v>65</v>
      </c>
      <c r="P102" t="s">
        <v>30</v>
      </c>
      <c r="Q102" s="3">
        <v>28.31</v>
      </c>
      <c r="R102" s="3">
        <v>243.12</v>
      </c>
      <c r="S102" s="3">
        <v>222.57</v>
      </c>
      <c r="T102" s="3">
        <v>559</v>
      </c>
      <c r="U102" s="3">
        <v>35</v>
      </c>
      <c r="V102" t="s">
        <v>71</v>
      </c>
    </row>
    <row r="103" spans="1:22" x14ac:dyDescent="0.3">
      <c r="A103" t="s">
        <v>187</v>
      </c>
      <c r="B103" s="1">
        <v>46074</v>
      </c>
      <c r="C103" t="s">
        <v>95</v>
      </c>
      <c r="D103" t="s">
        <v>46</v>
      </c>
      <c r="E103" t="s">
        <v>47</v>
      </c>
      <c r="F103" t="s">
        <v>35</v>
      </c>
      <c r="G103" t="s">
        <v>36</v>
      </c>
      <c r="H103">
        <v>1</v>
      </c>
      <c r="I103" s="3">
        <v>899</v>
      </c>
      <c r="J103" s="4">
        <v>25</v>
      </c>
      <c r="K103" s="3">
        <v>674</v>
      </c>
      <c r="L103" s="3">
        <v>674</v>
      </c>
      <c r="M103" t="s">
        <v>64</v>
      </c>
      <c r="N103" t="s">
        <v>29</v>
      </c>
      <c r="O103" s="3">
        <v>35</v>
      </c>
      <c r="P103" t="s">
        <v>30</v>
      </c>
      <c r="Q103" s="3">
        <v>37.6</v>
      </c>
      <c r="R103" s="3">
        <v>314.05</v>
      </c>
      <c r="S103" s="3">
        <v>287.35000000000002</v>
      </c>
      <c r="T103" s="3">
        <v>674</v>
      </c>
      <c r="U103" s="3">
        <v>8</v>
      </c>
      <c r="V103" t="s">
        <v>96</v>
      </c>
    </row>
    <row r="104" spans="1:22" x14ac:dyDescent="0.3">
      <c r="A104" t="s">
        <v>188</v>
      </c>
      <c r="B104" s="1">
        <v>46118</v>
      </c>
      <c r="C104" t="s">
        <v>23</v>
      </c>
      <c r="D104" t="s">
        <v>93</v>
      </c>
      <c r="E104" t="s">
        <v>47</v>
      </c>
      <c r="F104" t="s">
        <v>48</v>
      </c>
      <c r="G104" t="s">
        <v>49</v>
      </c>
      <c r="H104">
        <v>1</v>
      </c>
      <c r="I104" s="3">
        <v>699</v>
      </c>
      <c r="J104" s="4">
        <v>25</v>
      </c>
      <c r="K104" s="3">
        <v>524</v>
      </c>
      <c r="L104" s="3">
        <v>524</v>
      </c>
      <c r="M104" t="s">
        <v>69</v>
      </c>
      <c r="N104" t="s">
        <v>29</v>
      </c>
      <c r="O104" s="3">
        <v>45</v>
      </c>
      <c r="P104" t="s">
        <v>70</v>
      </c>
      <c r="Q104" s="3">
        <v>30.13</v>
      </c>
      <c r="R104" s="3">
        <v>233.42</v>
      </c>
      <c r="S104" s="3">
        <v>215.45</v>
      </c>
      <c r="T104" s="3">
        <v>524</v>
      </c>
      <c r="U104" s="3">
        <v>15</v>
      </c>
      <c r="V104" t="s">
        <v>31</v>
      </c>
    </row>
    <row r="105" spans="1:22" x14ac:dyDescent="0.3">
      <c r="A105" t="s">
        <v>189</v>
      </c>
      <c r="B105" s="1">
        <v>46244</v>
      </c>
      <c r="C105" t="s">
        <v>67</v>
      </c>
      <c r="D105" t="s">
        <v>24</v>
      </c>
      <c r="E105" t="s">
        <v>25</v>
      </c>
      <c r="F105" t="s">
        <v>79</v>
      </c>
      <c r="G105" t="s">
        <v>80</v>
      </c>
      <c r="H105">
        <v>1</v>
      </c>
      <c r="I105" s="3">
        <v>349</v>
      </c>
      <c r="J105" s="4">
        <v>25</v>
      </c>
      <c r="K105" s="3">
        <v>262</v>
      </c>
      <c r="L105" s="3">
        <v>262</v>
      </c>
      <c r="M105" t="s">
        <v>76</v>
      </c>
      <c r="N105" t="s">
        <v>29</v>
      </c>
      <c r="O105" s="3">
        <v>55</v>
      </c>
      <c r="P105" t="s">
        <v>30</v>
      </c>
      <c r="Q105" s="3">
        <v>15.2</v>
      </c>
      <c r="R105" s="3">
        <v>115.99</v>
      </c>
      <c r="S105" s="3">
        <v>75.81</v>
      </c>
      <c r="T105" s="3">
        <v>262</v>
      </c>
      <c r="U105" s="3">
        <v>33</v>
      </c>
      <c r="V105" t="s">
        <v>71</v>
      </c>
    </row>
    <row r="106" spans="1:22" x14ac:dyDescent="0.3">
      <c r="A106" t="s">
        <v>190</v>
      </c>
      <c r="B106" s="1">
        <v>46253</v>
      </c>
      <c r="C106" t="s">
        <v>67</v>
      </c>
      <c r="D106" t="s">
        <v>115</v>
      </c>
      <c r="E106" t="s">
        <v>116</v>
      </c>
      <c r="F106" t="s">
        <v>79</v>
      </c>
      <c r="G106" t="s">
        <v>80</v>
      </c>
      <c r="H106">
        <v>2</v>
      </c>
      <c r="I106" s="3">
        <v>249</v>
      </c>
      <c r="J106" s="4">
        <v>10</v>
      </c>
      <c r="K106" s="3">
        <v>224</v>
      </c>
      <c r="L106" s="3">
        <v>448</v>
      </c>
      <c r="M106" t="s">
        <v>69</v>
      </c>
      <c r="N106" t="s">
        <v>37</v>
      </c>
      <c r="O106" s="3">
        <v>55</v>
      </c>
      <c r="P106" t="s">
        <v>70</v>
      </c>
      <c r="Q106" s="3">
        <v>30.11</v>
      </c>
      <c r="R106" s="3">
        <v>190.03</v>
      </c>
      <c r="S106" s="3">
        <v>172.86</v>
      </c>
      <c r="T106" s="3">
        <v>224</v>
      </c>
      <c r="U106" s="3">
        <v>34</v>
      </c>
      <c r="V106" t="s">
        <v>71</v>
      </c>
    </row>
    <row r="107" spans="1:22" x14ac:dyDescent="0.3">
      <c r="A107" t="s">
        <v>191</v>
      </c>
      <c r="B107" s="1">
        <v>46259</v>
      </c>
      <c r="C107" t="s">
        <v>67</v>
      </c>
      <c r="D107" t="s">
        <v>33</v>
      </c>
      <c r="E107" t="s">
        <v>34</v>
      </c>
      <c r="F107" t="s">
        <v>42</v>
      </c>
      <c r="G107" t="s">
        <v>27</v>
      </c>
      <c r="H107">
        <v>1</v>
      </c>
      <c r="I107" s="3">
        <v>599</v>
      </c>
      <c r="J107" s="4">
        <v>10</v>
      </c>
      <c r="K107" s="3">
        <v>539</v>
      </c>
      <c r="L107" s="3">
        <v>539</v>
      </c>
      <c r="M107" t="s">
        <v>28</v>
      </c>
      <c r="N107" t="s">
        <v>37</v>
      </c>
      <c r="O107" s="3">
        <v>35</v>
      </c>
      <c r="P107" t="s">
        <v>30</v>
      </c>
      <c r="Q107" s="3">
        <v>32.520000000000003</v>
      </c>
      <c r="R107" s="3">
        <v>247.27</v>
      </c>
      <c r="S107" s="3">
        <v>224.21</v>
      </c>
      <c r="T107" s="3">
        <v>539</v>
      </c>
      <c r="U107" s="3">
        <v>35</v>
      </c>
      <c r="V107" t="s">
        <v>71</v>
      </c>
    </row>
    <row r="108" spans="1:22" x14ac:dyDescent="0.3">
      <c r="A108" t="s">
        <v>192</v>
      </c>
      <c r="B108" s="1">
        <v>46165</v>
      </c>
      <c r="C108" t="s">
        <v>62</v>
      </c>
      <c r="D108" t="s">
        <v>130</v>
      </c>
      <c r="E108" t="s">
        <v>54</v>
      </c>
      <c r="F108" t="s">
        <v>35</v>
      </c>
      <c r="G108" t="s">
        <v>36</v>
      </c>
      <c r="H108">
        <v>2</v>
      </c>
      <c r="I108" s="3">
        <v>699</v>
      </c>
      <c r="J108" s="4">
        <v>25</v>
      </c>
      <c r="K108" s="3">
        <v>524</v>
      </c>
      <c r="L108" s="3">
        <v>1048</v>
      </c>
      <c r="M108" t="s">
        <v>28</v>
      </c>
      <c r="N108" t="s">
        <v>29</v>
      </c>
      <c r="O108" s="3">
        <v>55</v>
      </c>
      <c r="P108" t="s">
        <v>30</v>
      </c>
      <c r="Q108" s="3">
        <v>59.2</v>
      </c>
      <c r="R108" s="3">
        <v>497.76</v>
      </c>
      <c r="S108" s="3">
        <v>436.04</v>
      </c>
      <c r="T108" s="3">
        <v>524</v>
      </c>
      <c r="U108" s="3">
        <v>21</v>
      </c>
      <c r="V108" t="s">
        <v>65</v>
      </c>
    </row>
    <row r="109" spans="1:22" x14ac:dyDescent="0.3">
      <c r="A109" t="s">
        <v>193</v>
      </c>
      <c r="B109" s="1">
        <v>46193</v>
      </c>
      <c r="C109" t="s">
        <v>78</v>
      </c>
      <c r="D109" t="s">
        <v>40</v>
      </c>
      <c r="E109" t="s">
        <v>41</v>
      </c>
      <c r="F109" t="s">
        <v>68</v>
      </c>
      <c r="G109" t="s">
        <v>27</v>
      </c>
      <c r="H109">
        <v>1</v>
      </c>
      <c r="I109" s="3">
        <v>449</v>
      </c>
      <c r="J109" s="4">
        <v>10</v>
      </c>
      <c r="K109" s="3">
        <v>404</v>
      </c>
      <c r="L109" s="3">
        <v>404</v>
      </c>
      <c r="M109" t="s">
        <v>69</v>
      </c>
      <c r="N109" t="s">
        <v>29</v>
      </c>
      <c r="O109" s="3">
        <v>55</v>
      </c>
      <c r="P109" t="s">
        <v>70</v>
      </c>
      <c r="Q109" s="3">
        <v>28.8</v>
      </c>
      <c r="R109" s="3">
        <v>178.88</v>
      </c>
      <c r="S109" s="3">
        <v>141.32</v>
      </c>
      <c r="T109" s="3">
        <v>404</v>
      </c>
      <c r="U109" s="3">
        <v>25</v>
      </c>
      <c r="V109" t="s">
        <v>81</v>
      </c>
    </row>
    <row r="110" spans="1:22" x14ac:dyDescent="0.3">
      <c r="A110" t="s">
        <v>194</v>
      </c>
      <c r="B110" s="1">
        <v>46051</v>
      </c>
      <c r="C110" t="s">
        <v>52</v>
      </c>
      <c r="D110" t="s">
        <v>46</v>
      </c>
      <c r="E110" t="s">
        <v>47</v>
      </c>
      <c r="F110" t="s">
        <v>84</v>
      </c>
      <c r="G110" t="s">
        <v>84</v>
      </c>
      <c r="H110">
        <v>1</v>
      </c>
      <c r="I110" s="3">
        <v>899</v>
      </c>
      <c r="J110" s="4">
        <v>25</v>
      </c>
      <c r="K110" s="3">
        <v>674</v>
      </c>
      <c r="L110" s="3">
        <v>674</v>
      </c>
      <c r="M110" t="s">
        <v>76</v>
      </c>
      <c r="N110" t="s">
        <v>29</v>
      </c>
      <c r="O110" s="3">
        <v>35</v>
      </c>
      <c r="P110" t="s">
        <v>30</v>
      </c>
      <c r="Q110" s="3">
        <v>52.84</v>
      </c>
      <c r="R110" s="3">
        <v>315.31</v>
      </c>
      <c r="S110" s="3">
        <v>270.85000000000002</v>
      </c>
      <c r="T110" s="3">
        <v>674</v>
      </c>
      <c r="U110" s="3">
        <v>5</v>
      </c>
      <c r="V110" t="s">
        <v>57</v>
      </c>
    </row>
    <row r="111" spans="1:22" x14ac:dyDescent="0.3">
      <c r="A111" t="s">
        <v>195</v>
      </c>
      <c r="B111" s="1">
        <v>46058</v>
      </c>
      <c r="C111" t="s">
        <v>95</v>
      </c>
      <c r="D111" t="s">
        <v>24</v>
      </c>
      <c r="E111" t="s">
        <v>25</v>
      </c>
      <c r="F111" t="s">
        <v>100</v>
      </c>
      <c r="G111" t="s">
        <v>101</v>
      </c>
      <c r="H111">
        <v>1</v>
      </c>
      <c r="I111" s="3">
        <v>349</v>
      </c>
      <c r="J111" s="4">
        <v>20</v>
      </c>
      <c r="K111" s="3">
        <v>279</v>
      </c>
      <c r="L111" s="3">
        <v>279</v>
      </c>
      <c r="M111" t="s">
        <v>28</v>
      </c>
      <c r="N111" t="s">
        <v>29</v>
      </c>
      <c r="O111" s="3">
        <v>35</v>
      </c>
      <c r="P111" t="s">
        <v>30</v>
      </c>
      <c r="Q111" s="3">
        <v>17.66</v>
      </c>
      <c r="R111" s="3">
        <v>138.05000000000001</v>
      </c>
      <c r="S111" s="3">
        <v>88.29</v>
      </c>
      <c r="T111" s="3">
        <v>279</v>
      </c>
      <c r="U111" s="3">
        <v>6</v>
      </c>
      <c r="V111" t="s">
        <v>96</v>
      </c>
    </row>
    <row r="112" spans="1:22" x14ac:dyDescent="0.3">
      <c r="A112" t="s">
        <v>196</v>
      </c>
      <c r="B112" s="1">
        <v>46035</v>
      </c>
      <c r="C112" t="s">
        <v>52</v>
      </c>
      <c r="D112" t="s">
        <v>59</v>
      </c>
      <c r="E112" t="s">
        <v>60</v>
      </c>
      <c r="F112" t="s">
        <v>26</v>
      </c>
      <c r="G112" t="s">
        <v>27</v>
      </c>
      <c r="H112">
        <v>1</v>
      </c>
      <c r="I112" s="3">
        <v>299</v>
      </c>
      <c r="J112" s="4">
        <v>15</v>
      </c>
      <c r="K112" s="3">
        <v>254</v>
      </c>
      <c r="L112" s="3">
        <v>254</v>
      </c>
      <c r="M112" t="s">
        <v>69</v>
      </c>
      <c r="N112" t="s">
        <v>37</v>
      </c>
      <c r="O112" s="3">
        <v>55</v>
      </c>
      <c r="P112" t="s">
        <v>70</v>
      </c>
      <c r="Q112" s="3">
        <v>11.13</v>
      </c>
      <c r="R112" s="3">
        <v>116.23</v>
      </c>
      <c r="S112" s="3">
        <v>71.64</v>
      </c>
      <c r="T112" s="3">
        <v>254</v>
      </c>
      <c r="U112" s="3">
        <v>3</v>
      </c>
      <c r="V112" t="s">
        <v>57</v>
      </c>
    </row>
    <row r="113" spans="1:22" x14ac:dyDescent="0.3">
      <c r="A113" t="s">
        <v>197</v>
      </c>
      <c r="B113" s="1">
        <v>46182</v>
      </c>
      <c r="C113" t="s">
        <v>78</v>
      </c>
      <c r="D113" t="s">
        <v>24</v>
      </c>
      <c r="E113" t="s">
        <v>25</v>
      </c>
      <c r="F113" t="s">
        <v>48</v>
      </c>
      <c r="G113" t="s">
        <v>49</v>
      </c>
      <c r="H113">
        <v>1</v>
      </c>
      <c r="I113" s="3">
        <v>349</v>
      </c>
      <c r="J113" s="4">
        <v>15</v>
      </c>
      <c r="K113" s="3">
        <v>297</v>
      </c>
      <c r="L113" s="3">
        <v>297</v>
      </c>
      <c r="M113" t="s">
        <v>69</v>
      </c>
      <c r="N113" t="s">
        <v>29</v>
      </c>
      <c r="O113" s="3">
        <v>65</v>
      </c>
      <c r="P113" t="s">
        <v>70</v>
      </c>
      <c r="Q113" s="3">
        <v>14.23</v>
      </c>
      <c r="R113" s="3">
        <v>151.08000000000001</v>
      </c>
      <c r="S113" s="3">
        <v>66.69</v>
      </c>
      <c r="T113" s="3">
        <v>297</v>
      </c>
      <c r="U113" s="3">
        <v>24</v>
      </c>
      <c r="V113" t="s">
        <v>81</v>
      </c>
    </row>
    <row r="114" spans="1:22" x14ac:dyDescent="0.3">
      <c r="A114" t="s">
        <v>198</v>
      </c>
      <c r="B114" s="1">
        <v>46209</v>
      </c>
      <c r="C114" t="s">
        <v>45</v>
      </c>
      <c r="D114" t="s">
        <v>74</v>
      </c>
      <c r="E114" t="s">
        <v>75</v>
      </c>
      <c r="F114" t="s">
        <v>68</v>
      </c>
      <c r="G114" t="s">
        <v>27</v>
      </c>
      <c r="H114">
        <v>2</v>
      </c>
      <c r="I114" s="3">
        <v>549</v>
      </c>
      <c r="J114" s="4">
        <v>35</v>
      </c>
      <c r="K114" s="3">
        <v>357</v>
      </c>
      <c r="L114" s="3">
        <v>714</v>
      </c>
      <c r="M114" t="s">
        <v>64</v>
      </c>
      <c r="N114" t="s">
        <v>37</v>
      </c>
      <c r="O114" s="3">
        <v>35</v>
      </c>
      <c r="P114" t="s">
        <v>30</v>
      </c>
      <c r="Q114" s="3">
        <v>44.1</v>
      </c>
      <c r="R114" s="3">
        <v>345.3</v>
      </c>
      <c r="S114" s="3">
        <v>289.60000000000002</v>
      </c>
      <c r="T114" s="3">
        <v>357</v>
      </c>
      <c r="U114" s="3">
        <v>28</v>
      </c>
      <c r="V114" t="s">
        <v>50</v>
      </c>
    </row>
    <row r="115" spans="1:22" x14ac:dyDescent="0.3">
      <c r="A115" t="s">
        <v>199</v>
      </c>
      <c r="B115" s="1">
        <v>46265</v>
      </c>
      <c r="C115" t="s">
        <v>67</v>
      </c>
      <c r="D115" t="s">
        <v>40</v>
      </c>
      <c r="E115" t="s">
        <v>41</v>
      </c>
      <c r="F115" t="s">
        <v>79</v>
      </c>
      <c r="G115" t="s">
        <v>80</v>
      </c>
      <c r="H115">
        <v>1</v>
      </c>
      <c r="I115" s="3">
        <v>449</v>
      </c>
      <c r="J115" s="4">
        <v>15</v>
      </c>
      <c r="K115" s="3">
        <v>382</v>
      </c>
      <c r="L115" s="3">
        <v>382</v>
      </c>
      <c r="M115" t="s">
        <v>28</v>
      </c>
      <c r="N115" t="s">
        <v>29</v>
      </c>
      <c r="O115" s="3">
        <v>65</v>
      </c>
      <c r="P115" t="s">
        <v>30</v>
      </c>
      <c r="Q115" s="3">
        <v>23.61</v>
      </c>
      <c r="R115" s="3">
        <v>198.05</v>
      </c>
      <c r="S115" s="3">
        <v>95.34</v>
      </c>
      <c r="T115" s="3">
        <v>382</v>
      </c>
      <c r="U115" s="3">
        <v>36</v>
      </c>
      <c r="V115" t="s">
        <v>71</v>
      </c>
    </row>
    <row r="116" spans="1:22" x14ac:dyDescent="0.3">
      <c r="A116" t="s">
        <v>200</v>
      </c>
      <c r="B116" s="1">
        <v>46108</v>
      </c>
      <c r="C116" t="s">
        <v>39</v>
      </c>
      <c r="D116" t="s">
        <v>46</v>
      </c>
      <c r="E116" t="s">
        <v>47</v>
      </c>
      <c r="F116" t="s">
        <v>26</v>
      </c>
      <c r="G116" t="s">
        <v>27</v>
      </c>
      <c r="H116">
        <v>1</v>
      </c>
      <c r="I116" s="3">
        <v>899</v>
      </c>
      <c r="J116" s="4">
        <v>25</v>
      </c>
      <c r="K116" s="3">
        <v>674</v>
      </c>
      <c r="L116" s="3">
        <v>674</v>
      </c>
      <c r="M116" t="s">
        <v>64</v>
      </c>
      <c r="N116" t="s">
        <v>37</v>
      </c>
      <c r="O116" s="3">
        <v>55</v>
      </c>
      <c r="P116" t="s">
        <v>30</v>
      </c>
      <c r="Q116" s="3">
        <v>40.130000000000003</v>
      </c>
      <c r="R116" s="3">
        <v>293.24</v>
      </c>
      <c r="S116" s="3">
        <v>285.63</v>
      </c>
      <c r="T116" s="3">
        <v>674</v>
      </c>
      <c r="U116" s="3">
        <v>13</v>
      </c>
      <c r="V116" t="s">
        <v>43</v>
      </c>
    </row>
    <row r="117" spans="1:22" x14ac:dyDescent="0.3">
      <c r="A117" t="s">
        <v>201</v>
      </c>
      <c r="B117" s="1">
        <v>46088</v>
      </c>
      <c r="C117" t="s">
        <v>39</v>
      </c>
      <c r="D117" t="s">
        <v>112</v>
      </c>
      <c r="E117" t="s">
        <v>47</v>
      </c>
      <c r="F117" t="s">
        <v>100</v>
      </c>
      <c r="G117" t="s">
        <v>101</v>
      </c>
      <c r="H117">
        <v>1</v>
      </c>
      <c r="I117" s="3">
        <v>299</v>
      </c>
      <c r="J117" s="4">
        <v>20</v>
      </c>
      <c r="K117" s="3">
        <v>239</v>
      </c>
      <c r="L117" s="3">
        <v>239</v>
      </c>
      <c r="M117" t="s">
        <v>28</v>
      </c>
      <c r="N117" t="s">
        <v>37</v>
      </c>
      <c r="O117" s="3">
        <v>55</v>
      </c>
      <c r="P117" t="s">
        <v>30</v>
      </c>
      <c r="Q117" s="3">
        <v>11.01</v>
      </c>
      <c r="R117" s="3">
        <v>102.62</v>
      </c>
      <c r="S117" s="3">
        <v>70.37</v>
      </c>
      <c r="T117" s="3">
        <v>239</v>
      </c>
      <c r="U117" s="3">
        <v>10</v>
      </c>
      <c r="V117" t="s">
        <v>43</v>
      </c>
    </row>
    <row r="118" spans="1:22" x14ac:dyDescent="0.3">
      <c r="A118" t="s">
        <v>202</v>
      </c>
      <c r="B118" s="1">
        <v>46192</v>
      </c>
      <c r="C118" t="s">
        <v>78</v>
      </c>
      <c r="D118" t="s">
        <v>53</v>
      </c>
      <c r="E118" t="s">
        <v>54</v>
      </c>
      <c r="F118" t="s">
        <v>100</v>
      </c>
      <c r="G118" t="s">
        <v>101</v>
      </c>
      <c r="H118">
        <v>1</v>
      </c>
      <c r="I118" s="3">
        <v>499</v>
      </c>
      <c r="J118" s="4">
        <v>20</v>
      </c>
      <c r="K118" s="3">
        <v>399</v>
      </c>
      <c r="L118" s="3">
        <v>399</v>
      </c>
      <c r="M118" t="s">
        <v>28</v>
      </c>
      <c r="N118" t="s">
        <v>37</v>
      </c>
      <c r="O118" s="3">
        <v>35</v>
      </c>
      <c r="P118" t="s">
        <v>30</v>
      </c>
      <c r="Q118" s="3">
        <v>27.8</v>
      </c>
      <c r="R118" s="3">
        <v>202.75</v>
      </c>
      <c r="S118" s="3">
        <v>133.44999999999999</v>
      </c>
      <c r="T118" s="3">
        <v>399</v>
      </c>
      <c r="U118" s="3">
        <v>25</v>
      </c>
      <c r="V118" t="s">
        <v>81</v>
      </c>
    </row>
    <row r="119" spans="1:22" x14ac:dyDescent="0.3">
      <c r="A119" t="s">
        <v>203</v>
      </c>
      <c r="B119" s="1">
        <v>46067</v>
      </c>
      <c r="C119" t="s">
        <v>95</v>
      </c>
      <c r="D119" t="s">
        <v>74</v>
      </c>
      <c r="E119" t="s">
        <v>75</v>
      </c>
      <c r="F119" t="s">
        <v>68</v>
      </c>
      <c r="G119" t="s">
        <v>27</v>
      </c>
      <c r="H119">
        <v>1</v>
      </c>
      <c r="I119" s="3">
        <v>549</v>
      </c>
      <c r="J119" s="4">
        <v>15</v>
      </c>
      <c r="K119" s="3">
        <v>467</v>
      </c>
      <c r="L119" s="3">
        <v>467</v>
      </c>
      <c r="M119" t="s">
        <v>76</v>
      </c>
      <c r="N119" t="s">
        <v>37</v>
      </c>
      <c r="O119" s="3">
        <v>45</v>
      </c>
      <c r="P119" t="s">
        <v>30</v>
      </c>
      <c r="Q119" s="3">
        <v>30.19</v>
      </c>
      <c r="R119" s="3">
        <v>204.92</v>
      </c>
      <c r="S119" s="3">
        <v>186.89</v>
      </c>
      <c r="T119" s="3">
        <v>467</v>
      </c>
      <c r="U119" s="3">
        <v>7</v>
      </c>
      <c r="V119" t="s">
        <v>96</v>
      </c>
    </row>
    <row r="120" spans="1:22" x14ac:dyDescent="0.3">
      <c r="A120" t="s">
        <v>204</v>
      </c>
      <c r="B120" s="1">
        <v>46084</v>
      </c>
      <c r="C120" t="s">
        <v>39</v>
      </c>
      <c r="D120" t="s">
        <v>53</v>
      </c>
      <c r="E120" t="s">
        <v>54</v>
      </c>
      <c r="F120" t="s">
        <v>35</v>
      </c>
      <c r="G120" t="s">
        <v>36</v>
      </c>
      <c r="H120">
        <v>1</v>
      </c>
      <c r="I120" s="3">
        <v>499</v>
      </c>
      <c r="J120" s="4">
        <v>30</v>
      </c>
      <c r="K120" s="3">
        <v>349</v>
      </c>
      <c r="L120" s="3">
        <v>349</v>
      </c>
      <c r="M120" t="s">
        <v>64</v>
      </c>
      <c r="N120" t="s">
        <v>29</v>
      </c>
      <c r="O120" s="3">
        <v>65</v>
      </c>
      <c r="P120" t="s">
        <v>30</v>
      </c>
      <c r="Q120" s="3">
        <v>24.37</v>
      </c>
      <c r="R120" s="3">
        <v>153.65</v>
      </c>
      <c r="S120" s="3">
        <v>105.98</v>
      </c>
      <c r="T120" s="3">
        <v>349</v>
      </c>
      <c r="U120" s="3">
        <v>10</v>
      </c>
      <c r="V120" t="s">
        <v>43</v>
      </c>
    </row>
    <row r="121" spans="1:22" x14ac:dyDescent="0.3">
      <c r="A121" t="s">
        <v>205</v>
      </c>
      <c r="B121" s="1">
        <v>46156</v>
      </c>
      <c r="C121" t="s">
        <v>62</v>
      </c>
      <c r="D121" t="s">
        <v>53</v>
      </c>
      <c r="E121" t="s">
        <v>54</v>
      </c>
      <c r="F121" t="s">
        <v>35</v>
      </c>
      <c r="G121" t="s">
        <v>36</v>
      </c>
      <c r="H121">
        <v>1</v>
      </c>
      <c r="I121" s="3">
        <v>499</v>
      </c>
      <c r="J121" s="4">
        <v>10</v>
      </c>
      <c r="K121" s="3">
        <v>449</v>
      </c>
      <c r="L121" s="3">
        <v>449</v>
      </c>
      <c r="M121" t="s">
        <v>28</v>
      </c>
      <c r="N121" t="s">
        <v>37</v>
      </c>
      <c r="O121" s="3">
        <v>65</v>
      </c>
      <c r="P121" t="s">
        <v>30</v>
      </c>
      <c r="Q121" s="3">
        <v>26.98</v>
      </c>
      <c r="R121" s="3">
        <v>194.18</v>
      </c>
      <c r="S121" s="3">
        <v>162.84</v>
      </c>
      <c r="T121" s="3">
        <v>449</v>
      </c>
      <c r="U121" s="3">
        <v>20</v>
      </c>
      <c r="V121" t="s">
        <v>65</v>
      </c>
    </row>
    <row r="122" spans="1:22" x14ac:dyDescent="0.3">
      <c r="A122" t="s">
        <v>206</v>
      </c>
      <c r="B122" s="1">
        <v>46050</v>
      </c>
      <c r="C122" t="s">
        <v>52</v>
      </c>
      <c r="D122" t="s">
        <v>130</v>
      </c>
      <c r="E122" t="s">
        <v>54</v>
      </c>
      <c r="F122" t="s">
        <v>35</v>
      </c>
      <c r="G122" t="s">
        <v>36</v>
      </c>
      <c r="H122">
        <v>2</v>
      </c>
      <c r="I122" s="3">
        <v>699</v>
      </c>
      <c r="J122" s="4">
        <v>15</v>
      </c>
      <c r="K122" s="3">
        <v>594</v>
      </c>
      <c r="L122" s="3">
        <v>1188</v>
      </c>
      <c r="M122" t="s">
        <v>28</v>
      </c>
      <c r="N122" t="s">
        <v>37</v>
      </c>
      <c r="O122" s="3">
        <v>45</v>
      </c>
      <c r="P122" t="s">
        <v>30</v>
      </c>
      <c r="Q122" s="3">
        <v>67.13</v>
      </c>
      <c r="R122" s="3">
        <v>581.6</v>
      </c>
      <c r="S122" s="3">
        <v>494.27</v>
      </c>
      <c r="T122" s="3">
        <v>594</v>
      </c>
      <c r="U122" s="3">
        <v>5</v>
      </c>
      <c r="V122" t="s">
        <v>57</v>
      </c>
    </row>
    <row r="123" spans="1:22" x14ac:dyDescent="0.3">
      <c r="A123" t="s">
        <v>207</v>
      </c>
      <c r="B123" s="1">
        <v>46130</v>
      </c>
      <c r="C123" t="s">
        <v>23</v>
      </c>
      <c r="D123" t="s">
        <v>112</v>
      </c>
      <c r="E123" t="s">
        <v>47</v>
      </c>
      <c r="F123" t="s">
        <v>35</v>
      </c>
      <c r="G123" t="s">
        <v>36</v>
      </c>
      <c r="H123">
        <v>1</v>
      </c>
      <c r="I123" s="3">
        <v>299</v>
      </c>
      <c r="J123" s="4">
        <v>20</v>
      </c>
      <c r="K123" s="3">
        <v>239</v>
      </c>
      <c r="L123" s="3">
        <v>239</v>
      </c>
      <c r="M123" t="s">
        <v>28</v>
      </c>
      <c r="N123" t="s">
        <v>37</v>
      </c>
      <c r="O123" s="3">
        <v>55</v>
      </c>
      <c r="P123" t="s">
        <v>30</v>
      </c>
      <c r="Q123" s="3">
        <v>14.16</v>
      </c>
      <c r="R123" s="3">
        <v>115.73</v>
      </c>
      <c r="S123" s="3">
        <v>54.11</v>
      </c>
      <c r="T123" s="3">
        <v>239</v>
      </c>
      <c r="U123" s="3">
        <v>16</v>
      </c>
      <c r="V123" t="s">
        <v>31</v>
      </c>
    </row>
    <row r="124" spans="1:22" x14ac:dyDescent="0.3">
      <c r="A124" t="s">
        <v>208</v>
      </c>
      <c r="B124" s="1">
        <v>46066</v>
      </c>
      <c r="C124" t="s">
        <v>95</v>
      </c>
      <c r="D124" t="s">
        <v>24</v>
      </c>
      <c r="E124" t="s">
        <v>25</v>
      </c>
      <c r="F124" t="s">
        <v>55</v>
      </c>
      <c r="G124" t="s">
        <v>56</v>
      </c>
      <c r="H124">
        <v>1</v>
      </c>
      <c r="I124" s="3">
        <v>349</v>
      </c>
      <c r="J124" s="4">
        <v>5</v>
      </c>
      <c r="K124" s="3">
        <v>332</v>
      </c>
      <c r="L124" s="3">
        <v>332</v>
      </c>
      <c r="M124" t="s">
        <v>28</v>
      </c>
      <c r="N124" t="s">
        <v>29</v>
      </c>
      <c r="O124" s="3">
        <v>45</v>
      </c>
      <c r="P124" t="s">
        <v>30</v>
      </c>
      <c r="Q124" s="3">
        <v>23.97</v>
      </c>
      <c r="R124" s="3">
        <v>148.4</v>
      </c>
      <c r="S124" s="3">
        <v>114.63</v>
      </c>
      <c r="T124" s="3">
        <v>332</v>
      </c>
      <c r="U124" s="3">
        <v>7</v>
      </c>
      <c r="V124" t="s">
        <v>96</v>
      </c>
    </row>
    <row r="125" spans="1:22" x14ac:dyDescent="0.3">
      <c r="A125" t="s">
        <v>209</v>
      </c>
      <c r="B125" s="1">
        <v>46150</v>
      </c>
      <c r="C125" t="s">
        <v>62</v>
      </c>
      <c r="D125" t="s">
        <v>93</v>
      </c>
      <c r="E125" t="s">
        <v>47</v>
      </c>
      <c r="F125" t="s">
        <v>84</v>
      </c>
      <c r="G125" t="s">
        <v>84</v>
      </c>
      <c r="H125">
        <v>1</v>
      </c>
      <c r="I125" s="3">
        <v>699</v>
      </c>
      <c r="J125" s="4">
        <v>15</v>
      </c>
      <c r="K125" s="3">
        <v>594</v>
      </c>
      <c r="L125" s="3">
        <v>594</v>
      </c>
      <c r="M125" t="s">
        <v>76</v>
      </c>
      <c r="N125" t="s">
        <v>37</v>
      </c>
      <c r="O125" s="3">
        <v>45</v>
      </c>
      <c r="P125" t="s">
        <v>30</v>
      </c>
      <c r="Q125" s="3">
        <v>28.75</v>
      </c>
      <c r="R125" s="3">
        <v>298.49</v>
      </c>
      <c r="S125" s="3">
        <v>221.76</v>
      </c>
      <c r="T125" s="3">
        <v>594</v>
      </c>
      <c r="U125" s="3">
        <v>19</v>
      </c>
      <c r="V125" t="s">
        <v>65</v>
      </c>
    </row>
    <row r="126" spans="1:22" x14ac:dyDescent="0.3">
      <c r="A126" t="s">
        <v>210</v>
      </c>
      <c r="B126" s="1">
        <v>46253</v>
      </c>
      <c r="C126" t="s">
        <v>67</v>
      </c>
      <c r="D126" t="s">
        <v>130</v>
      </c>
      <c r="E126" t="s">
        <v>54</v>
      </c>
      <c r="F126" t="s">
        <v>55</v>
      </c>
      <c r="G126" t="s">
        <v>56</v>
      </c>
      <c r="H126">
        <v>1</v>
      </c>
      <c r="I126" s="3">
        <v>699</v>
      </c>
      <c r="J126" s="4">
        <v>15</v>
      </c>
      <c r="K126" s="3">
        <v>594</v>
      </c>
      <c r="L126" s="3">
        <v>594</v>
      </c>
      <c r="M126" t="s">
        <v>28</v>
      </c>
      <c r="N126" t="s">
        <v>29</v>
      </c>
      <c r="O126" s="3">
        <v>35</v>
      </c>
      <c r="P126" t="s">
        <v>30</v>
      </c>
      <c r="Q126" s="3">
        <v>37.97</v>
      </c>
      <c r="R126" s="3">
        <v>293.18</v>
      </c>
      <c r="S126" s="3">
        <v>227.85</v>
      </c>
      <c r="T126" s="3">
        <v>594</v>
      </c>
      <c r="U126" s="3">
        <v>34</v>
      </c>
      <c r="V126" t="s">
        <v>71</v>
      </c>
    </row>
    <row r="127" spans="1:22" x14ac:dyDescent="0.3">
      <c r="A127" t="s">
        <v>211</v>
      </c>
      <c r="B127" s="1">
        <v>46212</v>
      </c>
      <c r="C127" t="s">
        <v>45</v>
      </c>
      <c r="D127" t="s">
        <v>59</v>
      </c>
      <c r="E127" t="s">
        <v>60</v>
      </c>
      <c r="F127" t="s">
        <v>109</v>
      </c>
      <c r="G127" t="s">
        <v>110</v>
      </c>
      <c r="H127">
        <v>1</v>
      </c>
      <c r="I127" s="3">
        <v>299</v>
      </c>
      <c r="J127" s="4">
        <v>20</v>
      </c>
      <c r="K127" s="3">
        <v>239</v>
      </c>
      <c r="L127" s="3">
        <v>239</v>
      </c>
      <c r="M127" t="s">
        <v>28</v>
      </c>
      <c r="N127" t="s">
        <v>29</v>
      </c>
      <c r="O127" s="3">
        <v>65</v>
      </c>
      <c r="P127" t="s">
        <v>30</v>
      </c>
      <c r="Q127" s="3">
        <v>11.26</v>
      </c>
      <c r="R127" s="3">
        <v>116.77</v>
      </c>
      <c r="S127" s="3">
        <v>45.97</v>
      </c>
      <c r="T127" s="3">
        <v>239</v>
      </c>
      <c r="U127" s="3">
        <v>28</v>
      </c>
      <c r="V127" t="s">
        <v>50</v>
      </c>
    </row>
    <row r="128" spans="1:22" x14ac:dyDescent="0.3">
      <c r="A128" t="s">
        <v>212</v>
      </c>
      <c r="B128" s="1">
        <v>46247</v>
      </c>
      <c r="C128" t="s">
        <v>67</v>
      </c>
      <c r="D128" t="s">
        <v>59</v>
      </c>
      <c r="E128" t="s">
        <v>60</v>
      </c>
      <c r="F128" t="s">
        <v>55</v>
      </c>
      <c r="G128" t="s">
        <v>56</v>
      </c>
      <c r="H128">
        <v>1</v>
      </c>
      <c r="I128" s="3">
        <v>299</v>
      </c>
      <c r="J128" s="4">
        <v>25</v>
      </c>
      <c r="K128" s="3">
        <v>224</v>
      </c>
      <c r="L128" s="3">
        <v>224</v>
      </c>
      <c r="M128" t="s">
        <v>28</v>
      </c>
      <c r="N128" t="s">
        <v>29</v>
      </c>
      <c r="O128" s="3">
        <v>35</v>
      </c>
      <c r="P128" t="s">
        <v>30</v>
      </c>
      <c r="Q128" s="3">
        <v>17.739999999999998</v>
      </c>
      <c r="R128" s="3">
        <v>97.78</v>
      </c>
      <c r="S128" s="3">
        <v>73.48</v>
      </c>
      <c r="T128" s="3">
        <v>224</v>
      </c>
      <c r="U128" s="3">
        <v>33</v>
      </c>
      <c r="V128" t="s">
        <v>71</v>
      </c>
    </row>
    <row r="129" spans="1:22" x14ac:dyDescent="0.3">
      <c r="A129" t="s">
        <v>213</v>
      </c>
      <c r="B129" s="1">
        <v>46143</v>
      </c>
      <c r="C129" t="s">
        <v>62</v>
      </c>
      <c r="D129" t="s">
        <v>112</v>
      </c>
      <c r="E129" t="s">
        <v>47</v>
      </c>
      <c r="F129" t="s">
        <v>109</v>
      </c>
      <c r="G129" t="s">
        <v>110</v>
      </c>
      <c r="H129">
        <v>1</v>
      </c>
      <c r="I129" s="3">
        <v>299</v>
      </c>
      <c r="J129" s="4">
        <v>15</v>
      </c>
      <c r="K129" s="3">
        <v>254</v>
      </c>
      <c r="L129" s="3">
        <v>254</v>
      </c>
      <c r="M129" t="s">
        <v>69</v>
      </c>
      <c r="N129" t="s">
        <v>37</v>
      </c>
      <c r="O129" s="3">
        <v>45</v>
      </c>
      <c r="P129" t="s">
        <v>70</v>
      </c>
      <c r="Q129" s="3">
        <v>18.82</v>
      </c>
      <c r="R129" s="3">
        <v>112.41</v>
      </c>
      <c r="S129" s="3">
        <v>77.77</v>
      </c>
      <c r="T129" s="3">
        <v>254</v>
      </c>
      <c r="U129" s="3">
        <v>18</v>
      </c>
      <c r="V129" t="s">
        <v>65</v>
      </c>
    </row>
    <row r="130" spans="1:22" x14ac:dyDescent="0.3">
      <c r="A130" t="s">
        <v>214</v>
      </c>
      <c r="B130" s="1">
        <v>46138</v>
      </c>
      <c r="C130" t="s">
        <v>23</v>
      </c>
      <c r="D130" t="s">
        <v>63</v>
      </c>
      <c r="E130" t="s">
        <v>47</v>
      </c>
      <c r="F130" t="s">
        <v>35</v>
      </c>
      <c r="G130" t="s">
        <v>36</v>
      </c>
      <c r="H130">
        <v>2</v>
      </c>
      <c r="I130" s="3">
        <v>399</v>
      </c>
      <c r="J130" s="4">
        <v>20</v>
      </c>
      <c r="K130" s="3">
        <v>319</v>
      </c>
      <c r="L130" s="3">
        <v>638</v>
      </c>
      <c r="M130" t="s">
        <v>28</v>
      </c>
      <c r="N130" t="s">
        <v>29</v>
      </c>
      <c r="O130" s="3">
        <v>45</v>
      </c>
      <c r="P130" t="s">
        <v>30</v>
      </c>
      <c r="Q130" s="3">
        <v>41.63</v>
      </c>
      <c r="R130" s="3">
        <v>271.14</v>
      </c>
      <c r="S130" s="3">
        <v>280.23</v>
      </c>
      <c r="T130" s="3">
        <v>319</v>
      </c>
      <c r="U130" s="3">
        <v>17</v>
      </c>
      <c r="V130" t="s">
        <v>31</v>
      </c>
    </row>
    <row r="131" spans="1:22" x14ac:dyDescent="0.3">
      <c r="A131" t="s">
        <v>215</v>
      </c>
      <c r="B131" s="1">
        <v>46255</v>
      </c>
      <c r="C131" t="s">
        <v>67</v>
      </c>
      <c r="D131" t="s">
        <v>74</v>
      </c>
      <c r="E131" t="s">
        <v>75</v>
      </c>
      <c r="F131" t="s">
        <v>42</v>
      </c>
      <c r="G131" t="s">
        <v>27</v>
      </c>
      <c r="H131">
        <v>2</v>
      </c>
      <c r="I131" s="3">
        <v>549</v>
      </c>
      <c r="J131" s="4">
        <v>5</v>
      </c>
      <c r="K131" s="3">
        <v>522</v>
      </c>
      <c r="L131" s="3">
        <v>1044</v>
      </c>
      <c r="M131" t="s">
        <v>28</v>
      </c>
      <c r="N131" t="s">
        <v>29</v>
      </c>
      <c r="O131" s="3">
        <v>45</v>
      </c>
      <c r="P131" t="s">
        <v>30</v>
      </c>
      <c r="Q131" s="3">
        <v>67.239999999999995</v>
      </c>
      <c r="R131" s="3">
        <v>452.61</v>
      </c>
      <c r="S131" s="3">
        <v>479.15</v>
      </c>
      <c r="T131" s="3">
        <v>522</v>
      </c>
      <c r="U131" s="3">
        <v>34</v>
      </c>
      <c r="V131" t="s">
        <v>71</v>
      </c>
    </row>
    <row r="132" spans="1:22" x14ac:dyDescent="0.3">
      <c r="A132" t="s">
        <v>216</v>
      </c>
      <c r="B132" s="1">
        <v>46281</v>
      </c>
      <c r="C132" t="s">
        <v>86</v>
      </c>
      <c r="D132" t="s">
        <v>40</v>
      </c>
      <c r="E132" t="s">
        <v>41</v>
      </c>
      <c r="F132" t="s">
        <v>48</v>
      </c>
      <c r="G132" t="s">
        <v>49</v>
      </c>
      <c r="H132">
        <v>3</v>
      </c>
      <c r="I132" s="3">
        <v>449</v>
      </c>
      <c r="J132" s="4">
        <v>10</v>
      </c>
      <c r="K132" s="3">
        <v>404</v>
      </c>
      <c r="L132" s="3">
        <v>1212</v>
      </c>
      <c r="M132" t="s">
        <v>28</v>
      </c>
      <c r="N132" t="s">
        <v>37</v>
      </c>
      <c r="O132" s="3">
        <v>45</v>
      </c>
      <c r="P132" t="s">
        <v>30</v>
      </c>
      <c r="Q132" s="3">
        <v>50.24</v>
      </c>
      <c r="R132" s="3">
        <v>542.46</v>
      </c>
      <c r="S132" s="3">
        <v>574.29999999999995</v>
      </c>
      <c r="T132" s="3">
        <v>404</v>
      </c>
      <c r="U132" s="3">
        <v>38</v>
      </c>
      <c r="V132" t="s">
        <v>87</v>
      </c>
    </row>
    <row r="133" spans="1:22" x14ac:dyDescent="0.3">
      <c r="A133" t="s">
        <v>217</v>
      </c>
      <c r="B133" s="1">
        <v>46220</v>
      </c>
      <c r="C133" t="s">
        <v>45</v>
      </c>
      <c r="D133" t="s">
        <v>40</v>
      </c>
      <c r="E133" t="s">
        <v>41</v>
      </c>
      <c r="F133" t="s">
        <v>68</v>
      </c>
      <c r="G133" t="s">
        <v>27</v>
      </c>
      <c r="H133">
        <v>1</v>
      </c>
      <c r="I133" s="3">
        <v>449</v>
      </c>
      <c r="J133" s="4">
        <v>30</v>
      </c>
      <c r="K133" s="3">
        <v>314</v>
      </c>
      <c r="L133" s="3">
        <v>314</v>
      </c>
      <c r="M133" t="s">
        <v>28</v>
      </c>
      <c r="N133" t="s">
        <v>29</v>
      </c>
      <c r="O133" s="3">
        <v>35</v>
      </c>
      <c r="P133" t="s">
        <v>30</v>
      </c>
      <c r="Q133" s="3">
        <v>15.93</v>
      </c>
      <c r="R133" s="3">
        <v>136.79</v>
      </c>
      <c r="S133" s="3">
        <v>126.28</v>
      </c>
      <c r="T133" s="3">
        <v>314</v>
      </c>
      <c r="U133" s="3">
        <v>29</v>
      </c>
      <c r="V133" t="s">
        <v>50</v>
      </c>
    </row>
    <row r="134" spans="1:22" x14ac:dyDescent="0.3">
      <c r="A134" t="s">
        <v>218</v>
      </c>
      <c r="B134" s="1">
        <v>46159</v>
      </c>
      <c r="C134" t="s">
        <v>62</v>
      </c>
      <c r="D134" t="s">
        <v>33</v>
      </c>
      <c r="E134" t="s">
        <v>34</v>
      </c>
      <c r="F134" t="s">
        <v>35</v>
      </c>
      <c r="G134" t="s">
        <v>36</v>
      </c>
      <c r="H134">
        <v>1</v>
      </c>
      <c r="I134" s="3">
        <v>599</v>
      </c>
      <c r="J134" s="4">
        <v>25</v>
      </c>
      <c r="K134" s="3">
        <v>449</v>
      </c>
      <c r="L134" s="3">
        <v>449</v>
      </c>
      <c r="M134" t="s">
        <v>28</v>
      </c>
      <c r="N134" t="s">
        <v>29</v>
      </c>
      <c r="O134" s="3">
        <v>45</v>
      </c>
      <c r="P134" t="s">
        <v>30</v>
      </c>
      <c r="Q134" s="3">
        <v>25.34</v>
      </c>
      <c r="R134" s="3">
        <v>204.18</v>
      </c>
      <c r="S134" s="3">
        <v>174.48</v>
      </c>
      <c r="T134" s="3">
        <v>449</v>
      </c>
      <c r="U134" s="3">
        <v>20</v>
      </c>
      <c r="V134" t="s">
        <v>65</v>
      </c>
    </row>
    <row r="135" spans="1:22" x14ac:dyDescent="0.3">
      <c r="A135" t="s">
        <v>219</v>
      </c>
      <c r="B135" s="1">
        <v>46187</v>
      </c>
      <c r="C135" t="s">
        <v>78</v>
      </c>
      <c r="D135" t="s">
        <v>46</v>
      </c>
      <c r="E135" t="s">
        <v>47</v>
      </c>
      <c r="F135" t="s">
        <v>79</v>
      </c>
      <c r="G135" t="s">
        <v>80</v>
      </c>
      <c r="H135">
        <v>1</v>
      </c>
      <c r="I135" s="3">
        <v>899</v>
      </c>
      <c r="J135" s="4">
        <v>10</v>
      </c>
      <c r="K135" s="3">
        <v>809</v>
      </c>
      <c r="L135" s="3">
        <v>809</v>
      </c>
      <c r="M135" t="s">
        <v>102</v>
      </c>
      <c r="N135" t="s">
        <v>37</v>
      </c>
      <c r="O135" s="3">
        <v>35</v>
      </c>
      <c r="P135" t="s">
        <v>30</v>
      </c>
      <c r="Q135" s="3">
        <v>34.049999999999997</v>
      </c>
      <c r="R135" s="3">
        <v>373.66</v>
      </c>
      <c r="S135" s="3">
        <v>366.29</v>
      </c>
      <c r="T135" s="3">
        <v>809</v>
      </c>
      <c r="U135" s="3">
        <v>24</v>
      </c>
      <c r="V135" t="s">
        <v>81</v>
      </c>
    </row>
    <row r="136" spans="1:22" x14ac:dyDescent="0.3">
      <c r="A136" t="s">
        <v>220</v>
      </c>
      <c r="B136" s="1">
        <v>46247</v>
      </c>
      <c r="C136" t="s">
        <v>67</v>
      </c>
      <c r="D136" t="s">
        <v>53</v>
      </c>
      <c r="E136" t="s">
        <v>54</v>
      </c>
      <c r="F136" t="s">
        <v>100</v>
      </c>
      <c r="G136" t="s">
        <v>101</v>
      </c>
      <c r="H136">
        <v>3</v>
      </c>
      <c r="I136" s="3">
        <v>499</v>
      </c>
      <c r="J136" s="4">
        <v>15</v>
      </c>
      <c r="K136" s="3">
        <v>424</v>
      </c>
      <c r="L136" s="3">
        <v>1272</v>
      </c>
      <c r="M136" t="s">
        <v>76</v>
      </c>
      <c r="N136" t="s">
        <v>37</v>
      </c>
      <c r="O136" s="3">
        <v>45</v>
      </c>
      <c r="P136" t="s">
        <v>30</v>
      </c>
      <c r="Q136" s="3">
        <v>60.61</v>
      </c>
      <c r="R136" s="3">
        <v>577.27</v>
      </c>
      <c r="S136" s="3">
        <v>589.12</v>
      </c>
      <c r="T136" s="3">
        <v>424</v>
      </c>
      <c r="U136" s="3">
        <v>33</v>
      </c>
      <c r="V136" t="s">
        <v>71</v>
      </c>
    </row>
    <row r="137" spans="1:22" x14ac:dyDescent="0.3">
      <c r="A137" t="s">
        <v>221</v>
      </c>
      <c r="B137" s="1">
        <v>46256</v>
      </c>
      <c r="C137" t="s">
        <v>67</v>
      </c>
      <c r="D137" t="s">
        <v>63</v>
      </c>
      <c r="E137" t="s">
        <v>47</v>
      </c>
      <c r="F137" t="s">
        <v>48</v>
      </c>
      <c r="G137" t="s">
        <v>49</v>
      </c>
      <c r="H137">
        <v>1</v>
      </c>
      <c r="I137" s="3">
        <v>399</v>
      </c>
      <c r="J137" s="4">
        <v>5</v>
      </c>
      <c r="K137" s="3">
        <v>379</v>
      </c>
      <c r="L137" s="3">
        <v>379</v>
      </c>
      <c r="M137" t="s">
        <v>76</v>
      </c>
      <c r="N137" t="s">
        <v>37</v>
      </c>
      <c r="O137" s="3">
        <v>55</v>
      </c>
      <c r="P137" t="s">
        <v>30</v>
      </c>
      <c r="Q137" s="3">
        <v>18.96</v>
      </c>
      <c r="R137" s="3">
        <v>191.42</v>
      </c>
      <c r="S137" s="3">
        <v>113.62</v>
      </c>
      <c r="T137" s="3">
        <v>379</v>
      </c>
      <c r="U137" s="3">
        <v>34</v>
      </c>
      <c r="V137" t="s">
        <v>71</v>
      </c>
    </row>
    <row r="138" spans="1:22" x14ac:dyDescent="0.3">
      <c r="A138" t="s">
        <v>222</v>
      </c>
      <c r="B138" s="1">
        <v>46194</v>
      </c>
      <c r="C138" t="s">
        <v>78</v>
      </c>
      <c r="D138" t="s">
        <v>93</v>
      </c>
      <c r="E138" t="s">
        <v>47</v>
      </c>
      <c r="F138" t="s">
        <v>79</v>
      </c>
      <c r="G138" t="s">
        <v>80</v>
      </c>
      <c r="H138">
        <v>1</v>
      </c>
      <c r="I138" s="3">
        <v>699</v>
      </c>
      <c r="J138" s="4">
        <v>35</v>
      </c>
      <c r="K138" s="3">
        <v>454</v>
      </c>
      <c r="L138" s="3">
        <v>454</v>
      </c>
      <c r="M138" t="s">
        <v>76</v>
      </c>
      <c r="N138" t="s">
        <v>29</v>
      </c>
      <c r="O138" s="3">
        <v>35</v>
      </c>
      <c r="P138" t="s">
        <v>30</v>
      </c>
      <c r="Q138" s="3">
        <v>32.54</v>
      </c>
      <c r="R138" s="3">
        <v>215.6</v>
      </c>
      <c r="S138" s="3">
        <v>170.86</v>
      </c>
      <c r="T138" s="3">
        <v>454</v>
      </c>
      <c r="U138" s="3">
        <v>25</v>
      </c>
      <c r="V138" t="s">
        <v>81</v>
      </c>
    </row>
    <row r="139" spans="1:22" x14ac:dyDescent="0.3">
      <c r="A139" t="s">
        <v>223</v>
      </c>
      <c r="B139" s="1">
        <v>46174</v>
      </c>
      <c r="C139" t="s">
        <v>78</v>
      </c>
      <c r="D139" t="s">
        <v>112</v>
      </c>
      <c r="E139" t="s">
        <v>47</v>
      </c>
      <c r="F139" t="s">
        <v>26</v>
      </c>
      <c r="G139" t="s">
        <v>27</v>
      </c>
      <c r="H139">
        <v>1</v>
      </c>
      <c r="I139" s="3">
        <v>299</v>
      </c>
      <c r="J139" s="4">
        <v>10</v>
      </c>
      <c r="K139" s="3">
        <v>269</v>
      </c>
      <c r="L139" s="3">
        <v>269</v>
      </c>
      <c r="M139" t="s">
        <v>69</v>
      </c>
      <c r="N139" t="s">
        <v>29</v>
      </c>
      <c r="O139" s="3">
        <v>65</v>
      </c>
      <c r="P139" t="s">
        <v>70</v>
      </c>
      <c r="Q139" s="3">
        <v>13.09</v>
      </c>
      <c r="R139" s="3">
        <v>115.6</v>
      </c>
      <c r="S139" s="3">
        <v>75.31</v>
      </c>
      <c r="T139" s="3">
        <v>269</v>
      </c>
      <c r="U139" s="3">
        <v>23</v>
      </c>
      <c r="V139" t="s">
        <v>81</v>
      </c>
    </row>
    <row r="140" spans="1:22" x14ac:dyDescent="0.3">
      <c r="A140" t="s">
        <v>224</v>
      </c>
      <c r="B140" s="1">
        <v>46182</v>
      </c>
      <c r="C140" t="s">
        <v>78</v>
      </c>
      <c r="D140" t="s">
        <v>74</v>
      </c>
      <c r="E140" t="s">
        <v>75</v>
      </c>
      <c r="F140" t="s">
        <v>55</v>
      </c>
      <c r="G140" t="s">
        <v>56</v>
      </c>
      <c r="H140">
        <v>1</v>
      </c>
      <c r="I140" s="3">
        <v>549</v>
      </c>
      <c r="J140" s="4">
        <v>10</v>
      </c>
      <c r="K140" s="3">
        <v>494</v>
      </c>
      <c r="L140" s="3">
        <v>494</v>
      </c>
      <c r="M140" t="s">
        <v>28</v>
      </c>
      <c r="N140" t="s">
        <v>29</v>
      </c>
      <c r="O140" s="3">
        <v>65</v>
      </c>
      <c r="P140" t="s">
        <v>30</v>
      </c>
      <c r="Q140" s="3">
        <v>26.79</v>
      </c>
      <c r="R140" s="3">
        <v>255.8</v>
      </c>
      <c r="S140" s="3">
        <v>146.41</v>
      </c>
      <c r="T140" s="3">
        <v>494</v>
      </c>
      <c r="U140" s="3">
        <v>24</v>
      </c>
      <c r="V140" t="s">
        <v>81</v>
      </c>
    </row>
    <row r="141" spans="1:22" x14ac:dyDescent="0.3">
      <c r="A141" t="s">
        <v>225</v>
      </c>
      <c r="B141" s="1">
        <v>46118</v>
      </c>
      <c r="C141" t="s">
        <v>23</v>
      </c>
      <c r="D141" t="s">
        <v>93</v>
      </c>
      <c r="E141" t="s">
        <v>47</v>
      </c>
      <c r="F141" t="s">
        <v>55</v>
      </c>
      <c r="G141" t="s">
        <v>56</v>
      </c>
      <c r="H141">
        <v>2</v>
      </c>
      <c r="I141" s="3">
        <v>699</v>
      </c>
      <c r="J141" s="4">
        <v>20</v>
      </c>
      <c r="K141" s="3">
        <v>559</v>
      </c>
      <c r="L141" s="3">
        <v>1118</v>
      </c>
      <c r="M141" t="s">
        <v>76</v>
      </c>
      <c r="N141" t="s">
        <v>29</v>
      </c>
      <c r="O141" s="3">
        <v>65</v>
      </c>
      <c r="P141" t="s">
        <v>30</v>
      </c>
      <c r="Q141" s="3">
        <v>67.95</v>
      </c>
      <c r="R141" s="3">
        <v>492.47</v>
      </c>
      <c r="S141" s="3">
        <v>492.58</v>
      </c>
      <c r="T141" s="3">
        <v>559</v>
      </c>
      <c r="U141" s="3">
        <v>15</v>
      </c>
      <c r="V141" t="s">
        <v>31</v>
      </c>
    </row>
    <row r="142" spans="1:22" x14ac:dyDescent="0.3">
      <c r="A142" t="s">
        <v>226</v>
      </c>
      <c r="B142" s="1">
        <v>46255</v>
      </c>
      <c r="C142" t="s">
        <v>67</v>
      </c>
      <c r="D142" t="s">
        <v>112</v>
      </c>
      <c r="E142" t="s">
        <v>47</v>
      </c>
      <c r="F142" t="s">
        <v>35</v>
      </c>
      <c r="G142" t="s">
        <v>36</v>
      </c>
      <c r="H142">
        <v>2</v>
      </c>
      <c r="I142" s="3">
        <v>299</v>
      </c>
      <c r="J142" s="4">
        <v>15</v>
      </c>
      <c r="K142" s="3">
        <v>254</v>
      </c>
      <c r="L142" s="3">
        <v>508</v>
      </c>
      <c r="M142" t="s">
        <v>28</v>
      </c>
      <c r="N142" t="s">
        <v>37</v>
      </c>
      <c r="O142" s="3">
        <v>45</v>
      </c>
      <c r="P142" t="s">
        <v>30</v>
      </c>
      <c r="Q142" s="3">
        <v>35.57</v>
      </c>
      <c r="R142" s="3">
        <v>241.71</v>
      </c>
      <c r="S142" s="3">
        <v>185.72</v>
      </c>
      <c r="T142" s="3">
        <v>254</v>
      </c>
      <c r="U142" s="3">
        <v>34</v>
      </c>
      <c r="V142" t="s">
        <v>71</v>
      </c>
    </row>
    <row r="143" spans="1:22" x14ac:dyDescent="0.3">
      <c r="A143" t="s">
        <v>227</v>
      </c>
      <c r="B143" s="1">
        <v>46202</v>
      </c>
      <c r="C143" t="s">
        <v>78</v>
      </c>
      <c r="D143" t="s">
        <v>40</v>
      </c>
      <c r="E143" t="s">
        <v>41</v>
      </c>
      <c r="F143" t="s">
        <v>84</v>
      </c>
      <c r="G143" t="s">
        <v>84</v>
      </c>
      <c r="H143">
        <v>2</v>
      </c>
      <c r="I143" s="3">
        <v>449</v>
      </c>
      <c r="J143" s="4">
        <v>20</v>
      </c>
      <c r="K143" s="3">
        <v>359</v>
      </c>
      <c r="L143" s="3">
        <v>718</v>
      </c>
      <c r="M143" t="s">
        <v>28</v>
      </c>
      <c r="N143" t="s">
        <v>37</v>
      </c>
      <c r="O143" s="3">
        <v>45</v>
      </c>
      <c r="P143" t="s">
        <v>30</v>
      </c>
      <c r="Q143" s="3">
        <v>39.4</v>
      </c>
      <c r="R143" s="3">
        <v>333.99</v>
      </c>
      <c r="S143" s="3">
        <v>299.61</v>
      </c>
      <c r="T143" s="3">
        <v>359</v>
      </c>
      <c r="U143" s="3">
        <v>27</v>
      </c>
      <c r="V143" t="s">
        <v>81</v>
      </c>
    </row>
    <row r="144" spans="1:22" x14ac:dyDescent="0.3">
      <c r="A144" t="s">
        <v>228</v>
      </c>
      <c r="B144" s="1">
        <v>46135</v>
      </c>
      <c r="C144" t="s">
        <v>23</v>
      </c>
      <c r="D144" t="s">
        <v>33</v>
      </c>
      <c r="E144" t="s">
        <v>34</v>
      </c>
      <c r="F144" t="s">
        <v>84</v>
      </c>
      <c r="G144" t="s">
        <v>84</v>
      </c>
      <c r="H144">
        <v>1</v>
      </c>
      <c r="I144" s="3">
        <v>599</v>
      </c>
      <c r="J144" s="4">
        <v>15</v>
      </c>
      <c r="K144" s="3">
        <v>509</v>
      </c>
      <c r="L144" s="3">
        <v>509</v>
      </c>
      <c r="M144" t="s">
        <v>28</v>
      </c>
      <c r="N144" t="s">
        <v>37</v>
      </c>
      <c r="O144" s="3">
        <v>65</v>
      </c>
      <c r="P144" t="s">
        <v>30</v>
      </c>
      <c r="Q144" s="3">
        <v>26.21</v>
      </c>
      <c r="R144" s="3">
        <v>254.14</v>
      </c>
      <c r="S144" s="3">
        <v>163.65</v>
      </c>
      <c r="T144" s="3">
        <v>509</v>
      </c>
      <c r="U144" s="3">
        <v>17</v>
      </c>
      <c r="V144" t="s">
        <v>31</v>
      </c>
    </row>
    <row r="145" spans="1:22" x14ac:dyDescent="0.3">
      <c r="A145" t="s">
        <v>229</v>
      </c>
      <c r="B145" s="1">
        <v>46074</v>
      </c>
      <c r="C145" t="s">
        <v>95</v>
      </c>
      <c r="D145" t="s">
        <v>63</v>
      </c>
      <c r="E145" t="s">
        <v>47</v>
      </c>
      <c r="F145" t="s">
        <v>79</v>
      </c>
      <c r="G145" t="s">
        <v>80</v>
      </c>
      <c r="H145">
        <v>2</v>
      </c>
      <c r="I145" s="3">
        <v>399</v>
      </c>
      <c r="J145" s="4">
        <v>20</v>
      </c>
      <c r="K145" s="3">
        <v>319</v>
      </c>
      <c r="L145" s="3">
        <v>638</v>
      </c>
      <c r="M145" t="s">
        <v>102</v>
      </c>
      <c r="N145" t="s">
        <v>37</v>
      </c>
      <c r="O145" s="3">
        <v>65</v>
      </c>
      <c r="P145" t="s">
        <v>30</v>
      </c>
      <c r="Q145" s="3">
        <v>38.799999999999997</v>
      </c>
      <c r="R145" s="3">
        <v>296.52</v>
      </c>
      <c r="S145" s="3">
        <v>237.68</v>
      </c>
      <c r="T145" s="3">
        <v>319</v>
      </c>
      <c r="U145" s="3">
        <v>8</v>
      </c>
      <c r="V145" t="s">
        <v>96</v>
      </c>
    </row>
    <row r="146" spans="1:22" x14ac:dyDescent="0.3">
      <c r="A146" t="s">
        <v>230</v>
      </c>
      <c r="B146" s="1">
        <v>46135</v>
      </c>
      <c r="C146" t="s">
        <v>23</v>
      </c>
      <c r="D146" t="s">
        <v>46</v>
      </c>
      <c r="E146" t="s">
        <v>47</v>
      </c>
      <c r="F146" t="s">
        <v>55</v>
      </c>
      <c r="G146" t="s">
        <v>56</v>
      </c>
      <c r="H146">
        <v>1</v>
      </c>
      <c r="I146" s="3">
        <v>899</v>
      </c>
      <c r="J146" s="4">
        <v>20</v>
      </c>
      <c r="K146" s="3">
        <v>719</v>
      </c>
      <c r="L146" s="3">
        <v>719</v>
      </c>
      <c r="M146" t="s">
        <v>102</v>
      </c>
      <c r="N146" t="s">
        <v>37</v>
      </c>
      <c r="O146" s="3">
        <v>55</v>
      </c>
      <c r="P146" t="s">
        <v>30</v>
      </c>
      <c r="Q146" s="3">
        <v>57.05</v>
      </c>
      <c r="R146" s="3">
        <v>312.10000000000002</v>
      </c>
      <c r="S146" s="3">
        <v>294.85000000000002</v>
      </c>
      <c r="T146" s="3">
        <v>719</v>
      </c>
      <c r="U146" s="3">
        <v>17</v>
      </c>
      <c r="V146" t="s">
        <v>31</v>
      </c>
    </row>
    <row r="147" spans="1:22" x14ac:dyDescent="0.3">
      <c r="A147" t="s">
        <v>231</v>
      </c>
      <c r="B147" s="1">
        <v>46123</v>
      </c>
      <c r="C147" t="s">
        <v>23</v>
      </c>
      <c r="D147" t="s">
        <v>40</v>
      </c>
      <c r="E147" t="s">
        <v>41</v>
      </c>
      <c r="F147" t="s">
        <v>100</v>
      </c>
      <c r="G147" t="s">
        <v>101</v>
      </c>
      <c r="H147">
        <v>1</v>
      </c>
      <c r="I147" s="3">
        <v>449</v>
      </c>
      <c r="J147" s="4">
        <v>30</v>
      </c>
      <c r="K147" s="3">
        <v>314</v>
      </c>
      <c r="L147" s="3">
        <v>314</v>
      </c>
      <c r="M147" t="s">
        <v>28</v>
      </c>
      <c r="N147" t="s">
        <v>29</v>
      </c>
      <c r="O147" s="3">
        <v>45</v>
      </c>
      <c r="P147" t="s">
        <v>30</v>
      </c>
      <c r="Q147" s="3">
        <v>20.29</v>
      </c>
      <c r="R147" s="3">
        <v>134.5</v>
      </c>
      <c r="S147" s="3">
        <v>114.21</v>
      </c>
      <c r="T147" s="3">
        <v>314</v>
      </c>
      <c r="U147" s="3">
        <v>15</v>
      </c>
      <c r="V147" t="s">
        <v>31</v>
      </c>
    </row>
    <row r="148" spans="1:22" x14ac:dyDescent="0.3">
      <c r="A148" t="s">
        <v>232</v>
      </c>
      <c r="B148" s="1">
        <v>46135</v>
      </c>
      <c r="C148" t="s">
        <v>23</v>
      </c>
      <c r="D148" t="s">
        <v>59</v>
      </c>
      <c r="E148" t="s">
        <v>60</v>
      </c>
      <c r="F148" t="s">
        <v>55</v>
      </c>
      <c r="G148" t="s">
        <v>56</v>
      </c>
      <c r="H148">
        <v>3</v>
      </c>
      <c r="I148" s="3">
        <v>299</v>
      </c>
      <c r="J148" s="4">
        <v>20</v>
      </c>
      <c r="K148" s="3">
        <v>239</v>
      </c>
      <c r="L148" s="3">
        <v>717</v>
      </c>
      <c r="M148" t="s">
        <v>69</v>
      </c>
      <c r="N148" t="s">
        <v>29</v>
      </c>
      <c r="O148" s="3">
        <v>35</v>
      </c>
      <c r="P148" t="s">
        <v>70</v>
      </c>
      <c r="Q148" s="3">
        <v>49.48</v>
      </c>
      <c r="R148" s="3">
        <v>324.3</v>
      </c>
      <c r="S148" s="3">
        <v>308.22000000000003</v>
      </c>
      <c r="T148" s="3">
        <v>239</v>
      </c>
      <c r="U148" s="3">
        <v>17</v>
      </c>
      <c r="V148" t="s">
        <v>31</v>
      </c>
    </row>
    <row r="149" spans="1:22" x14ac:dyDescent="0.3">
      <c r="A149" t="s">
        <v>233</v>
      </c>
      <c r="B149" s="1">
        <v>46103</v>
      </c>
      <c r="C149" t="s">
        <v>39</v>
      </c>
      <c r="D149" t="s">
        <v>24</v>
      </c>
      <c r="E149" t="s">
        <v>25</v>
      </c>
      <c r="F149" t="s">
        <v>55</v>
      </c>
      <c r="G149" t="s">
        <v>56</v>
      </c>
      <c r="H149">
        <v>1</v>
      </c>
      <c r="I149" s="3">
        <v>349</v>
      </c>
      <c r="J149" s="4">
        <v>25</v>
      </c>
      <c r="K149" s="3">
        <v>262</v>
      </c>
      <c r="L149" s="3">
        <v>262</v>
      </c>
      <c r="M149" t="s">
        <v>28</v>
      </c>
      <c r="N149" t="s">
        <v>37</v>
      </c>
      <c r="O149" s="3">
        <v>65</v>
      </c>
      <c r="P149" t="s">
        <v>30</v>
      </c>
      <c r="Q149" s="3">
        <v>18.02</v>
      </c>
      <c r="R149" s="3">
        <v>133.36000000000001</v>
      </c>
      <c r="S149" s="3">
        <v>45.62</v>
      </c>
      <c r="T149" s="3">
        <v>262</v>
      </c>
      <c r="U149" s="3">
        <v>12</v>
      </c>
      <c r="V149" t="s">
        <v>43</v>
      </c>
    </row>
    <row r="150" spans="1:22" x14ac:dyDescent="0.3">
      <c r="A150" t="s">
        <v>234</v>
      </c>
      <c r="B150" s="1">
        <v>46209</v>
      </c>
      <c r="C150" t="s">
        <v>45</v>
      </c>
      <c r="D150" t="s">
        <v>63</v>
      </c>
      <c r="E150" t="s">
        <v>47</v>
      </c>
      <c r="F150" t="s">
        <v>84</v>
      </c>
      <c r="G150" t="s">
        <v>84</v>
      </c>
      <c r="H150">
        <v>1</v>
      </c>
      <c r="I150" s="3">
        <v>399</v>
      </c>
      <c r="J150" s="4">
        <v>35</v>
      </c>
      <c r="K150" s="3">
        <v>259</v>
      </c>
      <c r="L150" s="3">
        <v>259</v>
      </c>
      <c r="M150" t="s">
        <v>64</v>
      </c>
      <c r="N150" t="s">
        <v>29</v>
      </c>
      <c r="O150" s="3">
        <v>45</v>
      </c>
      <c r="P150" t="s">
        <v>30</v>
      </c>
      <c r="Q150" s="3">
        <v>11.51</v>
      </c>
      <c r="R150" s="3">
        <v>128.44999999999999</v>
      </c>
      <c r="S150" s="3">
        <v>74.040000000000006</v>
      </c>
      <c r="T150" s="3">
        <v>259</v>
      </c>
      <c r="U150" s="3">
        <v>28</v>
      </c>
      <c r="V150" t="s">
        <v>50</v>
      </c>
    </row>
    <row r="151" spans="1:22" x14ac:dyDescent="0.3">
      <c r="A151" t="s">
        <v>235</v>
      </c>
      <c r="B151" s="1">
        <v>46135</v>
      </c>
      <c r="C151" t="s">
        <v>23</v>
      </c>
      <c r="D151" t="s">
        <v>46</v>
      </c>
      <c r="E151" t="s">
        <v>47</v>
      </c>
      <c r="F151" t="s">
        <v>48</v>
      </c>
      <c r="G151" t="s">
        <v>49</v>
      </c>
      <c r="H151">
        <v>1</v>
      </c>
      <c r="I151" s="3">
        <v>899</v>
      </c>
      <c r="J151" s="4">
        <v>20</v>
      </c>
      <c r="K151" s="3">
        <v>719</v>
      </c>
      <c r="L151" s="3">
        <v>719</v>
      </c>
      <c r="M151" t="s">
        <v>64</v>
      </c>
      <c r="N151" t="s">
        <v>37</v>
      </c>
      <c r="O151" s="3">
        <v>65</v>
      </c>
      <c r="P151" t="s">
        <v>30</v>
      </c>
      <c r="Q151" s="3">
        <v>43.87</v>
      </c>
      <c r="R151" s="3">
        <v>319.55</v>
      </c>
      <c r="S151" s="3">
        <v>290.58</v>
      </c>
      <c r="T151" s="3">
        <v>719</v>
      </c>
      <c r="U151" s="3">
        <v>17</v>
      </c>
      <c r="V151" t="s">
        <v>31</v>
      </c>
    </row>
    <row r="152" spans="1:22" x14ac:dyDescent="0.3">
      <c r="A152" t="s">
        <v>236</v>
      </c>
      <c r="B152" s="1">
        <v>46024</v>
      </c>
      <c r="C152" t="s">
        <v>52</v>
      </c>
      <c r="D152" t="s">
        <v>24</v>
      </c>
      <c r="E152" t="s">
        <v>25</v>
      </c>
      <c r="F152" t="s">
        <v>42</v>
      </c>
      <c r="G152" t="s">
        <v>27</v>
      </c>
      <c r="H152">
        <v>1</v>
      </c>
      <c r="I152" s="3">
        <v>349</v>
      </c>
      <c r="J152" s="4">
        <v>10</v>
      </c>
      <c r="K152" s="3">
        <v>314</v>
      </c>
      <c r="L152" s="3">
        <v>314</v>
      </c>
      <c r="M152" t="s">
        <v>28</v>
      </c>
      <c r="N152" t="s">
        <v>37</v>
      </c>
      <c r="O152" s="3">
        <v>55</v>
      </c>
      <c r="P152" t="s">
        <v>30</v>
      </c>
      <c r="Q152" s="3">
        <v>14.96</v>
      </c>
      <c r="R152" s="3">
        <v>151.15</v>
      </c>
      <c r="S152" s="3">
        <v>92.89</v>
      </c>
      <c r="T152" s="3">
        <v>314</v>
      </c>
      <c r="U152" s="3">
        <v>1</v>
      </c>
      <c r="V152" t="s">
        <v>57</v>
      </c>
    </row>
    <row r="153" spans="1:22" x14ac:dyDescent="0.3">
      <c r="A153" t="s">
        <v>237</v>
      </c>
      <c r="B153" s="1">
        <v>46152</v>
      </c>
      <c r="C153" t="s">
        <v>62</v>
      </c>
      <c r="D153" t="s">
        <v>112</v>
      </c>
      <c r="E153" t="s">
        <v>47</v>
      </c>
      <c r="F153" t="s">
        <v>42</v>
      </c>
      <c r="G153" t="s">
        <v>27</v>
      </c>
      <c r="H153">
        <v>2</v>
      </c>
      <c r="I153" s="3">
        <v>299</v>
      </c>
      <c r="J153" s="4">
        <v>20</v>
      </c>
      <c r="K153" s="3">
        <v>239</v>
      </c>
      <c r="L153" s="3">
        <v>478</v>
      </c>
      <c r="M153" t="s">
        <v>69</v>
      </c>
      <c r="N153" t="s">
        <v>37</v>
      </c>
      <c r="O153" s="3">
        <v>55</v>
      </c>
      <c r="P153" t="s">
        <v>70</v>
      </c>
      <c r="Q153" s="3">
        <v>19.71</v>
      </c>
      <c r="R153" s="3">
        <v>236.1</v>
      </c>
      <c r="S153" s="3">
        <v>167.19</v>
      </c>
      <c r="T153" s="3">
        <v>239</v>
      </c>
      <c r="U153" s="3">
        <v>19</v>
      </c>
      <c r="V153" t="s">
        <v>65</v>
      </c>
    </row>
    <row r="154" spans="1:22" x14ac:dyDescent="0.3">
      <c r="A154" t="s">
        <v>238</v>
      </c>
      <c r="B154" s="1">
        <v>46242</v>
      </c>
      <c r="C154" t="s">
        <v>67</v>
      </c>
      <c r="D154" t="s">
        <v>74</v>
      </c>
      <c r="E154" t="s">
        <v>75</v>
      </c>
      <c r="F154" t="s">
        <v>79</v>
      </c>
      <c r="G154" t="s">
        <v>80</v>
      </c>
      <c r="H154">
        <v>1</v>
      </c>
      <c r="I154" s="3">
        <v>549</v>
      </c>
      <c r="J154" s="4">
        <v>25</v>
      </c>
      <c r="K154" s="3">
        <v>412</v>
      </c>
      <c r="L154" s="3">
        <v>412</v>
      </c>
      <c r="M154" t="s">
        <v>28</v>
      </c>
      <c r="N154" t="s">
        <v>37</v>
      </c>
      <c r="O154" s="3">
        <v>65</v>
      </c>
      <c r="P154" t="s">
        <v>30</v>
      </c>
      <c r="Q154" s="3">
        <v>20.22</v>
      </c>
      <c r="R154" s="3">
        <v>207.53</v>
      </c>
      <c r="S154" s="3">
        <v>119.25</v>
      </c>
      <c r="T154" s="3">
        <v>412</v>
      </c>
      <c r="U154" s="3">
        <v>32</v>
      </c>
      <c r="V154" t="s">
        <v>71</v>
      </c>
    </row>
    <row r="155" spans="1:22" x14ac:dyDescent="0.3">
      <c r="A155" t="s">
        <v>239</v>
      </c>
      <c r="B155" s="1">
        <v>46076</v>
      </c>
      <c r="C155" t="s">
        <v>95</v>
      </c>
      <c r="D155" t="s">
        <v>74</v>
      </c>
      <c r="E155" t="s">
        <v>75</v>
      </c>
      <c r="F155" t="s">
        <v>35</v>
      </c>
      <c r="G155" t="s">
        <v>36</v>
      </c>
      <c r="H155">
        <v>2</v>
      </c>
      <c r="I155" s="3">
        <v>549</v>
      </c>
      <c r="J155" s="4">
        <v>15</v>
      </c>
      <c r="K155" s="3">
        <v>467</v>
      </c>
      <c r="L155" s="3">
        <v>934</v>
      </c>
      <c r="M155" t="s">
        <v>28</v>
      </c>
      <c r="N155" t="s">
        <v>29</v>
      </c>
      <c r="O155" s="3">
        <v>35</v>
      </c>
      <c r="P155" t="s">
        <v>30</v>
      </c>
      <c r="Q155" s="3">
        <v>38.6</v>
      </c>
      <c r="R155" s="3">
        <v>420.67</v>
      </c>
      <c r="S155" s="3">
        <v>439.73</v>
      </c>
      <c r="T155" s="3">
        <v>467</v>
      </c>
      <c r="U155" s="3">
        <v>9</v>
      </c>
      <c r="V155" t="s">
        <v>96</v>
      </c>
    </row>
    <row r="156" spans="1:22" x14ac:dyDescent="0.3">
      <c r="A156" t="s">
        <v>240</v>
      </c>
      <c r="B156" s="1">
        <v>46246</v>
      </c>
      <c r="C156" t="s">
        <v>67</v>
      </c>
      <c r="D156" t="s">
        <v>130</v>
      </c>
      <c r="E156" t="s">
        <v>54</v>
      </c>
      <c r="F156" t="s">
        <v>42</v>
      </c>
      <c r="G156" t="s">
        <v>27</v>
      </c>
      <c r="H156">
        <v>2</v>
      </c>
      <c r="I156" s="3">
        <v>699</v>
      </c>
      <c r="J156" s="4">
        <v>30</v>
      </c>
      <c r="K156" s="3">
        <v>489</v>
      </c>
      <c r="L156" s="3">
        <v>978</v>
      </c>
      <c r="M156" t="s">
        <v>76</v>
      </c>
      <c r="N156" t="s">
        <v>37</v>
      </c>
      <c r="O156" s="3">
        <v>45</v>
      </c>
      <c r="P156" t="s">
        <v>30</v>
      </c>
      <c r="Q156" s="3">
        <v>64.58</v>
      </c>
      <c r="R156" s="3">
        <v>496.26</v>
      </c>
      <c r="S156" s="3">
        <v>372.16</v>
      </c>
      <c r="T156" s="3">
        <v>489</v>
      </c>
      <c r="U156" s="3">
        <v>33</v>
      </c>
      <c r="V156" t="s">
        <v>71</v>
      </c>
    </row>
    <row r="157" spans="1:22" x14ac:dyDescent="0.3">
      <c r="A157" t="s">
        <v>241</v>
      </c>
      <c r="B157" s="1">
        <v>46247</v>
      </c>
      <c r="C157" t="s">
        <v>67</v>
      </c>
      <c r="D157" t="s">
        <v>33</v>
      </c>
      <c r="E157" t="s">
        <v>34</v>
      </c>
      <c r="F157" t="s">
        <v>26</v>
      </c>
      <c r="G157" t="s">
        <v>27</v>
      </c>
      <c r="H157">
        <v>1</v>
      </c>
      <c r="I157" s="3">
        <v>599</v>
      </c>
      <c r="J157" s="4">
        <v>20</v>
      </c>
      <c r="K157" s="3">
        <v>479</v>
      </c>
      <c r="L157" s="3">
        <v>479</v>
      </c>
      <c r="M157" t="s">
        <v>64</v>
      </c>
      <c r="N157" t="s">
        <v>29</v>
      </c>
      <c r="O157" s="3">
        <v>65</v>
      </c>
      <c r="P157" t="s">
        <v>30</v>
      </c>
      <c r="Q157" s="3">
        <v>21.63</v>
      </c>
      <c r="R157" s="3">
        <v>220.95</v>
      </c>
      <c r="S157" s="3">
        <v>171.42</v>
      </c>
      <c r="T157" s="3">
        <v>479</v>
      </c>
      <c r="U157" s="3">
        <v>33</v>
      </c>
      <c r="V157" t="s">
        <v>71</v>
      </c>
    </row>
    <row r="158" spans="1:22" x14ac:dyDescent="0.3">
      <c r="A158" t="s">
        <v>242</v>
      </c>
      <c r="B158" s="1">
        <v>46148</v>
      </c>
      <c r="C158" t="s">
        <v>62</v>
      </c>
      <c r="D158" t="s">
        <v>33</v>
      </c>
      <c r="E158" t="s">
        <v>34</v>
      </c>
      <c r="F158" t="s">
        <v>35</v>
      </c>
      <c r="G158" t="s">
        <v>36</v>
      </c>
      <c r="H158">
        <v>1</v>
      </c>
      <c r="I158" s="3">
        <v>599</v>
      </c>
      <c r="J158" s="4">
        <v>20</v>
      </c>
      <c r="K158" s="3">
        <v>479</v>
      </c>
      <c r="L158" s="3">
        <v>479</v>
      </c>
      <c r="M158" t="s">
        <v>28</v>
      </c>
      <c r="N158" t="s">
        <v>37</v>
      </c>
      <c r="O158" s="3">
        <v>45</v>
      </c>
      <c r="P158" t="s">
        <v>30</v>
      </c>
      <c r="Q158" s="3">
        <v>24.53</v>
      </c>
      <c r="R158" s="3">
        <v>242.29</v>
      </c>
      <c r="S158" s="3">
        <v>167.18</v>
      </c>
      <c r="T158" s="3">
        <v>479</v>
      </c>
      <c r="U158" s="3">
        <v>19</v>
      </c>
      <c r="V158" t="s">
        <v>65</v>
      </c>
    </row>
    <row r="159" spans="1:22" x14ac:dyDescent="0.3">
      <c r="A159" t="s">
        <v>243</v>
      </c>
      <c r="B159" s="1">
        <v>46152</v>
      </c>
      <c r="C159" t="s">
        <v>62</v>
      </c>
      <c r="D159" t="s">
        <v>74</v>
      </c>
      <c r="E159" t="s">
        <v>75</v>
      </c>
      <c r="F159" t="s">
        <v>84</v>
      </c>
      <c r="G159" t="s">
        <v>84</v>
      </c>
      <c r="H159">
        <v>2</v>
      </c>
      <c r="I159" s="3">
        <v>549</v>
      </c>
      <c r="J159" s="4">
        <v>30</v>
      </c>
      <c r="K159" s="3">
        <v>384</v>
      </c>
      <c r="L159" s="3">
        <v>768</v>
      </c>
      <c r="M159" t="s">
        <v>28</v>
      </c>
      <c r="N159" t="s">
        <v>29</v>
      </c>
      <c r="O159" s="3">
        <v>55</v>
      </c>
      <c r="P159" t="s">
        <v>30</v>
      </c>
      <c r="Q159" s="3">
        <v>49.81</v>
      </c>
      <c r="R159" s="3">
        <v>365.51</v>
      </c>
      <c r="S159" s="3">
        <v>297.68</v>
      </c>
      <c r="T159" s="3">
        <v>384</v>
      </c>
      <c r="U159" s="3">
        <v>19</v>
      </c>
      <c r="V159" t="s">
        <v>65</v>
      </c>
    </row>
    <row r="160" spans="1:22" x14ac:dyDescent="0.3">
      <c r="A160" t="s">
        <v>244</v>
      </c>
      <c r="B160" s="1">
        <v>46075</v>
      </c>
      <c r="C160" t="s">
        <v>95</v>
      </c>
      <c r="D160" t="s">
        <v>53</v>
      </c>
      <c r="E160" t="s">
        <v>54</v>
      </c>
      <c r="F160" t="s">
        <v>84</v>
      </c>
      <c r="G160" t="s">
        <v>84</v>
      </c>
      <c r="H160">
        <v>2</v>
      </c>
      <c r="I160" s="3">
        <v>499</v>
      </c>
      <c r="J160" s="4">
        <v>10</v>
      </c>
      <c r="K160" s="3">
        <v>449</v>
      </c>
      <c r="L160" s="3">
        <v>898</v>
      </c>
      <c r="M160" t="s">
        <v>76</v>
      </c>
      <c r="N160" t="s">
        <v>37</v>
      </c>
      <c r="O160" s="3">
        <v>35</v>
      </c>
      <c r="P160" t="s">
        <v>30</v>
      </c>
      <c r="Q160" s="3">
        <v>38.369999999999997</v>
      </c>
      <c r="R160" s="3">
        <v>400.81</v>
      </c>
      <c r="S160" s="3">
        <v>423.82</v>
      </c>
      <c r="T160" s="3">
        <v>449</v>
      </c>
      <c r="U160" s="3">
        <v>8</v>
      </c>
      <c r="V160" t="s">
        <v>96</v>
      </c>
    </row>
    <row r="161" spans="1:22" x14ac:dyDescent="0.3">
      <c r="A161" t="s">
        <v>245</v>
      </c>
      <c r="B161" s="1">
        <v>46194</v>
      </c>
      <c r="C161" t="s">
        <v>78</v>
      </c>
      <c r="D161" t="s">
        <v>93</v>
      </c>
      <c r="E161" t="s">
        <v>47</v>
      </c>
      <c r="F161" t="s">
        <v>79</v>
      </c>
      <c r="G161" t="s">
        <v>80</v>
      </c>
      <c r="H161">
        <v>1</v>
      </c>
      <c r="I161" s="3">
        <v>699</v>
      </c>
      <c r="J161" s="4">
        <v>30</v>
      </c>
      <c r="K161" s="3">
        <v>489</v>
      </c>
      <c r="L161" s="3">
        <v>489</v>
      </c>
      <c r="M161" t="s">
        <v>28</v>
      </c>
      <c r="N161" t="s">
        <v>37</v>
      </c>
      <c r="O161" s="3">
        <v>35</v>
      </c>
      <c r="P161" t="s">
        <v>30</v>
      </c>
      <c r="Q161" s="3">
        <v>25.43</v>
      </c>
      <c r="R161" s="3">
        <v>241.72</v>
      </c>
      <c r="S161" s="3">
        <v>186.85</v>
      </c>
      <c r="T161" s="3">
        <v>489</v>
      </c>
      <c r="U161" s="3">
        <v>25</v>
      </c>
      <c r="V161" t="s">
        <v>81</v>
      </c>
    </row>
    <row r="162" spans="1:22" x14ac:dyDescent="0.3">
      <c r="A162" t="s">
        <v>246</v>
      </c>
      <c r="B162" s="1">
        <v>46240</v>
      </c>
      <c r="C162" t="s">
        <v>67</v>
      </c>
      <c r="D162" t="s">
        <v>130</v>
      </c>
      <c r="E162" t="s">
        <v>54</v>
      </c>
      <c r="F162" t="s">
        <v>79</v>
      </c>
      <c r="G162" t="s">
        <v>80</v>
      </c>
      <c r="H162">
        <v>2</v>
      </c>
      <c r="I162" s="3">
        <v>699</v>
      </c>
      <c r="J162" s="4">
        <v>15</v>
      </c>
      <c r="K162" s="3">
        <v>594</v>
      </c>
      <c r="L162" s="3">
        <v>1188</v>
      </c>
      <c r="M162" t="s">
        <v>28</v>
      </c>
      <c r="N162" t="s">
        <v>37</v>
      </c>
      <c r="O162" s="3">
        <v>65</v>
      </c>
      <c r="P162" t="s">
        <v>30</v>
      </c>
      <c r="Q162" s="3">
        <v>56.33</v>
      </c>
      <c r="R162" s="3">
        <v>508.34</v>
      </c>
      <c r="S162" s="3">
        <v>558.33000000000004</v>
      </c>
      <c r="T162" s="3">
        <v>594</v>
      </c>
      <c r="U162" s="3">
        <v>32</v>
      </c>
      <c r="V162" t="s">
        <v>71</v>
      </c>
    </row>
    <row r="163" spans="1:22" x14ac:dyDescent="0.3">
      <c r="A163" t="s">
        <v>247</v>
      </c>
      <c r="B163" s="1">
        <v>46182</v>
      </c>
      <c r="C163" t="s">
        <v>78</v>
      </c>
      <c r="D163" t="s">
        <v>93</v>
      </c>
      <c r="E163" t="s">
        <v>47</v>
      </c>
      <c r="F163" t="s">
        <v>84</v>
      </c>
      <c r="G163" t="s">
        <v>84</v>
      </c>
      <c r="H163">
        <v>1</v>
      </c>
      <c r="I163" s="3">
        <v>699</v>
      </c>
      <c r="J163" s="4">
        <v>30</v>
      </c>
      <c r="K163" s="3">
        <v>489</v>
      </c>
      <c r="L163" s="3">
        <v>489</v>
      </c>
      <c r="M163" t="s">
        <v>28</v>
      </c>
      <c r="N163" t="s">
        <v>29</v>
      </c>
      <c r="O163" s="3">
        <v>35</v>
      </c>
      <c r="P163" t="s">
        <v>30</v>
      </c>
      <c r="Q163" s="3">
        <v>20.8</v>
      </c>
      <c r="R163" s="3">
        <v>246.03</v>
      </c>
      <c r="S163" s="3">
        <v>187.17</v>
      </c>
      <c r="T163" s="3">
        <v>489</v>
      </c>
      <c r="U163" s="3">
        <v>24</v>
      </c>
      <c r="V163" t="s">
        <v>81</v>
      </c>
    </row>
    <row r="164" spans="1:22" x14ac:dyDescent="0.3">
      <c r="A164" t="s">
        <v>248</v>
      </c>
      <c r="B164" s="1">
        <v>46220</v>
      </c>
      <c r="C164" t="s">
        <v>45</v>
      </c>
      <c r="D164" t="s">
        <v>93</v>
      </c>
      <c r="E164" t="s">
        <v>47</v>
      </c>
      <c r="F164" t="s">
        <v>100</v>
      </c>
      <c r="G164" t="s">
        <v>101</v>
      </c>
      <c r="H164">
        <v>1</v>
      </c>
      <c r="I164" s="3">
        <v>699</v>
      </c>
      <c r="J164" s="4">
        <v>35</v>
      </c>
      <c r="K164" s="3">
        <v>454</v>
      </c>
      <c r="L164" s="3">
        <v>454</v>
      </c>
      <c r="M164" t="s">
        <v>76</v>
      </c>
      <c r="N164" t="s">
        <v>37</v>
      </c>
      <c r="O164" s="3">
        <v>35</v>
      </c>
      <c r="P164" t="s">
        <v>30</v>
      </c>
      <c r="Q164" s="3">
        <v>19.329999999999998</v>
      </c>
      <c r="R164" s="3">
        <v>234.07</v>
      </c>
      <c r="S164" s="3">
        <v>165.6</v>
      </c>
      <c r="T164" s="3">
        <v>454</v>
      </c>
      <c r="U164" s="3">
        <v>29</v>
      </c>
      <c r="V164" t="s">
        <v>50</v>
      </c>
    </row>
    <row r="165" spans="1:22" x14ac:dyDescent="0.3">
      <c r="A165" t="s">
        <v>249</v>
      </c>
      <c r="B165" s="1">
        <v>46269</v>
      </c>
      <c r="C165" t="s">
        <v>86</v>
      </c>
      <c r="D165" t="s">
        <v>115</v>
      </c>
      <c r="E165" t="s">
        <v>116</v>
      </c>
      <c r="F165" t="s">
        <v>79</v>
      </c>
      <c r="G165" t="s">
        <v>80</v>
      </c>
      <c r="H165">
        <v>1</v>
      </c>
      <c r="I165" s="3">
        <v>249</v>
      </c>
      <c r="J165" s="4">
        <v>20</v>
      </c>
      <c r="K165" s="3">
        <v>199</v>
      </c>
      <c r="L165" s="3">
        <v>199</v>
      </c>
      <c r="M165" t="s">
        <v>76</v>
      </c>
      <c r="N165" t="s">
        <v>37</v>
      </c>
      <c r="O165" s="3">
        <v>35</v>
      </c>
      <c r="P165" t="s">
        <v>30</v>
      </c>
      <c r="Q165" s="3">
        <v>10.67</v>
      </c>
      <c r="R165" s="3">
        <v>86.86</v>
      </c>
      <c r="S165" s="3">
        <v>66.47</v>
      </c>
      <c r="T165" s="3">
        <v>199</v>
      </c>
      <c r="U165" s="3">
        <v>36</v>
      </c>
      <c r="V165" t="s">
        <v>87</v>
      </c>
    </row>
    <row r="166" spans="1:22" x14ac:dyDescent="0.3">
      <c r="A166" t="s">
        <v>250</v>
      </c>
      <c r="B166" s="1">
        <v>46225</v>
      </c>
      <c r="C166" t="s">
        <v>45</v>
      </c>
      <c r="D166" t="s">
        <v>63</v>
      </c>
      <c r="E166" t="s">
        <v>47</v>
      </c>
      <c r="F166" t="s">
        <v>84</v>
      </c>
      <c r="G166" t="s">
        <v>84</v>
      </c>
      <c r="H166">
        <v>1</v>
      </c>
      <c r="I166" s="3">
        <v>399</v>
      </c>
      <c r="J166" s="4">
        <v>30</v>
      </c>
      <c r="K166" s="3">
        <v>279</v>
      </c>
      <c r="L166" s="3">
        <v>279</v>
      </c>
      <c r="M166" t="s">
        <v>28</v>
      </c>
      <c r="N166" t="s">
        <v>37</v>
      </c>
      <c r="O166" s="3">
        <v>55</v>
      </c>
      <c r="P166" t="s">
        <v>30</v>
      </c>
      <c r="Q166" s="3">
        <v>16.88</v>
      </c>
      <c r="R166" s="3">
        <v>120.09</v>
      </c>
      <c r="S166" s="3">
        <v>87.03</v>
      </c>
      <c r="T166" s="3">
        <v>279</v>
      </c>
      <c r="U166" s="3">
        <v>30</v>
      </c>
      <c r="V166" t="s">
        <v>50</v>
      </c>
    </row>
    <row r="167" spans="1:22" x14ac:dyDescent="0.3">
      <c r="A167" t="s">
        <v>251</v>
      </c>
      <c r="B167" s="1">
        <v>46206</v>
      </c>
      <c r="C167" t="s">
        <v>45</v>
      </c>
      <c r="D167" t="s">
        <v>74</v>
      </c>
      <c r="E167" t="s">
        <v>75</v>
      </c>
      <c r="F167" t="s">
        <v>109</v>
      </c>
      <c r="G167" t="s">
        <v>110</v>
      </c>
      <c r="H167">
        <v>1</v>
      </c>
      <c r="I167" s="3">
        <v>549</v>
      </c>
      <c r="J167" s="4">
        <v>15</v>
      </c>
      <c r="K167" s="3">
        <v>467</v>
      </c>
      <c r="L167" s="3">
        <v>467</v>
      </c>
      <c r="M167" t="s">
        <v>28</v>
      </c>
      <c r="N167" t="s">
        <v>37</v>
      </c>
      <c r="O167" s="3">
        <v>35</v>
      </c>
      <c r="P167" t="s">
        <v>30</v>
      </c>
      <c r="Q167" s="3">
        <v>28.14</v>
      </c>
      <c r="R167" s="3">
        <v>225.75</v>
      </c>
      <c r="S167" s="3">
        <v>178.11</v>
      </c>
      <c r="T167" s="3">
        <v>467</v>
      </c>
      <c r="U167" s="3">
        <v>27</v>
      </c>
      <c r="V167" t="s">
        <v>50</v>
      </c>
    </row>
    <row r="168" spans="1:22" x14ac:dyDescent="0.3">
      <c r="A168" t="s">
        <v>252</v>
      </c>
      <c r="B168" s="1">
        <v>46145</v>
      </c>
      <c r="C168" t="s">
        <v>62</v>
      </c>
      <c r="D168" t="s">
        <v>53</v>
      </c>
      <c r="E168" t="s">
        <v>54</v>
      </c>
      <c r="F168" t="s">
        <v>26</v>
      </c>
      <c r="G168" t="s">
        <v>27</v>
      </c>
      <c r="H168">
        <v>1</v>
      </c>
      <c r="I168" s="3">
        <v>499</v>
      </c>
      <c r="J168" s="4">
        <v>20</v>
      </c>
      <c r="K168" s="3">
        <v>399</v>
      </c>
      <c r="L168" s="3">
        <v>399</v>
      </c>
      <c r="M168" t="s">
        <v>28</v>
      </c>
      <c r="N168" t="s">
        <v>37</v>
      </c>
      <c r="O168" s="3">
        <v>65</v>
      </c>
      <c r="P168" t="s">
        <v>30</v>
      </c>
      <c r="Q168" s="3">
        <v>19.77</v>
      </c>
      <c r="R168" s="3">
        <v>186.32</v>
      </c>
      <c r="S168" s="3">
        <v>127.91</v>
      </c>
      <c r="T168" s="3">
        <v>399</v>
      </c>
      <c r="U168" s="3">
        <v>18</v>
      </c>
      <c r="V168" t="s">
        <v>65</v>
      </c>
    </row>
    <row r="169" spans="1:22" x14ac:dyDescent="0.3">
      <c r="A169" t="s">
        <v>253</v>
      </c>
      <c r="B169" s="1">
        <v>46277</v>
      </c>
      <c r="C169" t="s">
        <v>86</v>
      </c>
      <c r="D169" t="s">
        <v>93</v>
      </c>
      <c r="E169" t="s">
        <v>47</v>
      </c>
      <c r="F169" t="s">
        <v>84</v>
      </c>
      <c r="G169" t="s">
        <v>84</v>
      </c>
      <c r="H169">
        <v>1</v>
      </c>
      <c r="I169" s="3">
        <v>699</v>
      </c>
      <c r="J169" s="4">
        <v>25</v>
      </c>
      <c r="K169" s="3">
        <v>524</v>
      </c>
      <c r="L169" s="3">
        <v>524</v>
      </c>
      <c r="M169" t="s">
        <v>28</v>
      </c>
      <c r="N169" t="s">
        <v>29</v>
      </c>
      <c r="O169" s="3">
        <v>65</v>
      </c>
      <c r="P169" t="s">
        <v>30</v>
      </c>
      <c r="Q169" s="3">
        <v>33.340000000000003</v>
      </c>
      <c r="R169" s="3">
        <v>248.22</v>
      </c>
      <c r="S169" s="3">
        <v>177.44</v>
      </c>
      <c r="T169" s="3">
        <v>524</v>
      </c>
      <c r="U169" s="3">
        <v>37</v>
      </c>
      <c r="V169" t="s">
        <v>87</v>
      </c>
    </row>
    <row r="170" spans="1:22" x14ac:dyDescent="0.3">
      <c r="A170" t="s">
        <v>254</v>
      </c>
      <c r="B170" s="1">
        <v>46120</v>
      </c>
      <c r="C170" t="s">
        <v>23</v>
      </c>
      <c r="D170" t="s">
        <v>93</v>
      </c>
      <c r="E170" t="s">
        <v>47</v>
      </c>
      <c r="F170" t="s">
        <v>79</v>
      </c>
      <c r="G170" t="s">
        <v>80</v>
      </c>
      <c r="H170">
        <v>1</v>
      </c>
      <c r="I170" s="3">
        <v>699</v>
      </c>
      <c r="J170" s="4">
        <v>10</v>
      </c>
      <c r="K170" s="3">
        <v>629</v>
      </c>
      <c r="L170" s="3">
        <v>629</v>
      </c>
      <c r="M170" t="s">
        <v>28</v>
      </c>
      <c r="N170" t="s">
        <v>37</v>
      </c>
      <c r="O170" s="3">
        <v>35</v>
      </c>
      <c r="P170" t="s">
        <v>30</v>
      </c>
      <c r="Q170" s="3">
        <v>36.19</v>
      </c>
      <c r="R170" s="3">
        <v>277.92</v>
      </c>
      <c r="S170" s="3">
        <v>279.89</v>
      </c>
      <c r="T170" s="3">
        <v>629</v>
      </c>
      <c r="U170" s="3">
        <v>15</v>
      </c>
      <c r="V170" t="s">
        <v>31</v>
      </c>
    </row>
    <row r="171" spans="1:22" x14ac:dyDescent="0.3">
      <c r="A171" t="s">
        <v>255</v>
      </c>
      <c r="B171" s="1">
        <v>46220</v>
      </c>
      <c r="C171" t="s">
        <v>45</v>
      </c>
      <c r="D171" t="s">
        <v>112</v>
      </c>
      <c r="E171" t="s">
        <v>47</v>
      </c>
      <c r="F171" t="s">
        <v>48</v>
      </c>
      <c r="G171" t="s">
        <v>49</v>
      </c>
      <c r="H171">
        <v>1</v>
      </c>
      <c r="I171" s="3">
        <v>299</v>
      </c>
      <c r="J171" s="4">
        <v>10</v>
      </c>
      <c r="K171" s="3">
        <v>269</v>
      </c>
      <c r="L171" s="3">
        <v>269</v>
      </c>
      <c r="M171" t="s">
        <v>28</v>
      </c>
      <c r="N171" t="s">
        <v>37</v>
      </c>
      <c r="O171" s="3">
        <v>65</v>
      </c>
      <c r="P171" t="s">
        <v>30</v>
      </c>
      <c r="Q171" s="3">
        <v>16.48</v>
      </c>
      <c r="R171" s="3">
        <v>136.65</v>
      </c>
      <c r="S171" s="3">
        <v>50.87</v>
      </c>
      <c r="T171" s="3">
        <v>269</v>
      </c>
      <c r="U171" s="3">
        <v>29</v>
      </c>
      <c r="V171" t="s">
        <v>50</v>
      </c>
    </row>
    <row r="172" spans="1:22" x14ac:dyDescent="0.3">
      <c r="A172" t="s">
        <v>256</v>
      </c>
      <c r="B172" s="1">
        <v>46262</v>
      </c>
      <c r="C172" t="s">
        <v>67</v>
      </c>
      <c r="D172" t="s">
        <v>115</v>
      </c>
      <c r="E172" t="s">
        <v>116</v>
      </c>
      <c r="F172" t="s">
        <v>84</v>
      </c>
      <c r="G172" t="s">
        <v>84</v>
      </c>
      <c r="H172">
        <v>1</v>
      </c>
      <c r="I172" s="3">
        <v>249</v>
      </c>
      <c r="J172" s="4">
        <v>35</v>
      </c>
      <c r="K172" s="3">
        <v>162</v>
      </c>
      <c r="L172" s="3">
        <v>162</v>
      </c>
      <c r="M172" t="s">
        <v>28</v>
      </c>
      <c r="N172" t="s">
        <v>29</v>
      </c>
      <c r="O172" s="3">
        <v>65</v>
      </c>
      <c r="P172" t="s">
        <v>30</v>
      </c>
      <c r="Q172" s="3">
        <v>9.2100000000000009</v>
      </c>
      <c r="R172" s="3">
        <v>74.7</v>
      </c>
      <c r="S172" s="3">
        <v>13.09</v>
      </c>
      <c r="T172" s="3">
        <v>162</v>
      </c>
      <c r="U172" s="3">
        <v>35</v>
      </c>
      <c r="V172" t="s">
        <v>71</v>
      </c>
    </row>
    <row r="173" spans="1:22" x14ac:dyDescent="0.3">
      <c r="A173" t="s">
        <v>257</v>
      </c>
      <c r="B173" s="1">
        <v>46166</v>
      </c>
      <c r="C173" t="s">
        <v>62</v>
      </c>
      <c r="D173" t="s">
        <v>63</v>
      </c>
      <c r="E173" t="s">
        <v>47</v>
      </c>
      <c r="F173" t="s">
        <v>42</v>
      </c>
      <c r="G173" t="s">
        <v>27</v>
      </c>
      <c r="H173">
        <v>2</v>
      </c>
      <c r="I173" s="3">
        <v>399</v>
      </c>
      <c r="J173" s="4">
        <v>40</v>
      </c>
      <c r="K173" s="3">
        <v>239</v>
      </c>
      <c r="L173" s="3">
        <v>478</v>
      </c>
      <c r="M173" t="s">
        <v>64</v>
      </c>
      <c r="N173" t="s">
        <v>29</v>
      </c>
      <c r="O173" s="3">
        <v>65</v>
      </c>
      <c r="P173" t="s">
        <v>30</v>
      </c>
      <c r="Q173" s="3">
        <v>35.619999999999997</v>
      </c>
      <c r="R173" s="3">
        <v>200.86</v>
      </c>
      <c r="S173" s="3">
        <v>176.52</v>
      </c>
      <c r="T173" s="3">
        <v>239</v>
      </c>
      <c r="U173" s="3">
        <v>21</v>
      </c>
      <c r="V173" t="s">
        <v>65</v>
      </c>
    </row>
    <row r="174" spans="1:22" x14ac:dyDescent="0.3">
      <c r="A174" t="s">
        <v>258</v>
      </c>
      <c r="B174" s="1">
        <v>46119</v>
      </c>
      <c r="C174" t="s">
        <v>23</v>
      </c>
      <c r="D174" t="s">
        <v>115</v>
      </c>
      <c r="E174" t="s">
        <v>116</v>
      </c>
      <c r="F174" t="s">
        <v>42</v>
      </c>
      <c r="G174" t="s">
        <v>27</v>
      </c>
      <c r="H174">
        <v>1</v>
      </c>
      <c r="I174" s="3">
        <v>249</v>
      </c>
      <c r="J174" s="4">
        <v>25</v>
      </c>
      <c r="K174" s="3">
        <v>187</v>
      </c>
      <c r="L174" s="3">
        <v>187</v>
      </c>
      <c r="M174" t="s">
        <v>28</v>
      </c>
      <c r="N174" t="s">
        <v>37</v>
      </c>
      <c r="O174" s="3">
        <v>45</v>
      </c>
      <c r="P174" t="s">
        <v>30</v>
      </c>
      <c r="Q174" s="3">
        <v>13.47</v>
      </c>
      <c r="R174" s="3">
        <v>90.93</v>
      </c>
      <c r="S174" s="3">
        <v>37.6</v>
      </c>
      <c r="T174" s="3">
        <v>187</v>
      </c>
      <c r="U174" s="3">
        <v>15</v>
      </c>
      <c r="V174" t="s">
        <v>31</v>
      </c>
    </row>
    <row r="175" spans="1:22" x14ac:dyDescent="0.3">
      <c r="A175" t="s">
        <v>259</v>
      </c>
      <c r="B175" s="1">
        <v>46223</v>
      </c>
      <c r="C175" t="s">
        <v>45</v>
      </c>
      <c r="D175" t="s">
        <v>59</v>
      </c>
      <c r="E175" t="s">
        <v>60</v>
      </c>
      <c r="F175" t="s">
        <v>79</v>
      </c>
      <c r="G175" t="s">
        <v>80</v>
      </c>
      <c r="H175">
        <v>2</v>
      </c>
      <c r="I175" s="3">
        <v>299</v>
      </c>
      <c r="J175" s="4">
        <v>10</v>
      </c>
      <c r="K175" s="3">
        <v>269</v>
      </c>
      <c r="L175" s="3">
        <v>538</v>
      </c>
      <c r="M175" t="s">
        <v>28</v>
      </c>
      <c r="N175" t="s">
        <v>29</v>
      </c>
      <c r="O175" s="3">
        <v>55</v>
      </c>
      <c r="P175" t="s">
        <v>30</v>
      </c>
      <c r="Q175" s="3">
        <v>37.659999999999997</v>
      </c>
      <c r="R175" s="3">
        <v>248.16</v>
      </c>
      <c r="S175" s="3">
        <v>197.18</v>
      </c>
      <c r="T175" s="3">
        <v>269</v>
      </c>
      <c r="U175" s="3">
        <v>30</v>
      </c>
      <c r="V175" t="s">
        <v>50</v>
      </c>
    </row>
    <row r="176" spans="1:22" x14ac:dyDescent="0.3">
      <c r="A176" t="s">
        <v>260</v>
      </c>
      <c r="B176" s="1">
        <v>46146</v>
      </c>
      <c r="C176" t="s">
        <v>62</v>
      </c>
      <c r="D176" t="s">
        <v>24</v>
      </c>
      <c r="E176" t="s">
        <v>25</v>
      </c>
      <c r="F176" t="s">
        <v>26</v>
      </c>
      <c r="G176" t="s">
        <v>27</v>
      </c>
      <c r="H176">
        <v>2</v>
      </c>
      <c r="I176" s="3">
        <v>349</v>
      </c>
      <c r="J176" s="4">
        <v>25</v>
      </c>
      <c r="K176" s="3">
        <v>262</v>
      </c>
      <c r="L176" s="3">
        <v>524</v>
      </c>
      <c r="M176" t="s">
        <v>28</v>
      </c>
      <c r="N176" t="s">
        <v>29</v>
      </c>
      <c r="O176" s="3">
        <v>55</v>
      </c>
      <c r="P176" t="s">
        <v>30</v>
      </c>
      <c r="Q176" s="3">
        <v>40.1</v>
      </c>
      <c r="R176" s="3">
        <v>252.18</v>
      </c>
      <c r="S176" s="3">
        <v>176.72</v>
      </c>
      <c r="T176" s="3">
        <v>262</v>
      </c>
      <c r="U176" s="3">
        <v>19</v>
      </c>
      <c r="V176" t="s">
        <v>65</v>
      </c>
    </row>
    <row r="177" spans="1:22" x14ac:dyDescent="0.3">
      <c r="A177" t="s">
        <v>261</v>
      </c>
      <c r="B177" s="1">
        <v>46209</v>
      </c>
      <c r="C177" t="s">
        <v>45</v>
      </c>
      <c r="D177" t="s">
        <v>130</v>
      </c>
      <c r="E177" t="s">
        <v>54</v>
      </c>
      <c r="F177" t="s">
        <v>109</v>
      </c>
      <c r="G177" t="s">
        <v>110</v>
      </c>
      <c r="H177">
        <v>1</v>
      </c>
      <c r="I177" s="3">
        <v>699</v>
      </c>
      <c r="J177" s="4">
        <v>35</v>
      </c>
      <c r="K177" s="3">
        <v>454</v>
      </c>
      <c r="L177" s="3">
        <v>454</v>
      </c>
      <c r="M177" t="s">
        <v>28</v>
      </c>
      <c r="N177" t="s">
        <v>29</v>
      </c>
      <c r="O177" s="3">
        <v>65</v>
      </c>
      <c r="P177" t="s">
        <v>30</v>
      </c>
      <c r="Q177" s="3">
        <v>36.159999999999997</v>
      </c>
      <c r="R177" s="3">
        <v>227.91</v>
      </c>
      <c r="S177" s="3">
        <v>124.93</v>
      </c>
      <c r="T177" s="3">
        <v>454</v>
      </c>
      <c r="U177" s="3">
        <v>28</v>
      </c>
      <c r="V177" t="s">
        <v>50</v>
      </c>
    </row>
    <row r="178" spans="1:22" x14ac:dyDescent="0.3">
      <c r="A178" t="s">
        <v>262</v>
      </c>
      <c r="B178" s="1">
        <v>46281</v>
      </c>
      <c r="C178" t="s">
        <v>86</v>
      </c>
      <c r="D178" t="s">
        <v>59</v>
      </c>
      <c r="E178" t="s">
        <v>60</v>
      </c>
      <c r="F178" t="s">
        <v>84</v>
      </c>
      <c r="G178" t="s">
        <v>84</v>
      </c>
      <c r="H178">
        <v>1</v>
      </c>
      <c r="I178" s="3">
        <v>299</v>
      </c>
      <c r="J178" s="4">
        <v>10</v>
      </c>
      <c r="K178" s="3">
        <v>269</v>
      </c>
      <c r="L178" s="3">
        <v>269</v>
      </c>
      <c r="M178" t="s">
        <v>28</v>
      </c>
      <c r="N178" t="s">
        <v>37</v>
      </c>
      <c r="O178" s="3">
        <v>35</v>
      </c>
      <c r="P178" t="s">
        <v>30</v>
      </c>
      <c r="Q178" s="3">
        <v>12.08</v>
      </c>
      <c r="R178" s="3">
        <v>128.01</v>
      </c>
      <c r="S178" s="3">
        <v>93.91</v>
      </c>
      <c r="T178" s="3">
        <v>269</v>
      </c>
      <c r="U178" s="3">
        <v>38</v>
      </c>
      <c r="V178" t="s">
        <v>87</v>
      </c>
    </row>
    <row r="179" spans="1:22" x14ac:dyDescent="0.3">
      <c r="A179" t="s">
        <v>263</v>
      </c>
      <c r="B179" s="1">
        <v>46170</v>
      </c>
      <c r="C179" t="s">
        <v>62</v>
      </c>
      <c r="D179" t="s">
        <v>115</v>
      </c>
      <c r="E179" t="s">
        <v>116</v>
      </c>
      <c r="F179" t="s">
        <v>79</v>
      </c>
      <c r="G179" t="s">
        <v>80</v>
      </c>
      <c r="H179">
        <v>1</v>
      </c>
      <c r="I179" s="3">
        <v>249</v>
      </c>
      <c r="J179" s="4">
        <v>30</v>
      </c>
      <c r="K179" s="3">
        <v>174</v>
      </c>
      <c r="L179" s="3">
        <v>174</v>
      </c>
      <c r="M179" t="s">
        <v>76</v>
      </c>
      <c r="N179" t="s">
        <v>37</v>
      </c>
      <c r="O179" s="3">
        <v>45</v>
      </c>
      <c r="P179" t="s">
        <v>30</v>
      </c>
      <c r="Q179" s="3">
        <v>9.77</v>
      </c>
      <c r="R179" s="3">
        <v>74.430000000000007</v>
      </c>
      <c r="S179" s="3">
        <v>44.8</v>
      </c>
      <c r="T179" s="3">
        <v>174</v>
      </c>
      <c r="U179" s="3">
        <v>22</v>
      </c>
      <c r="V179" t="s">
        <v>65</v>
      </c>
    </row>
    <row r="180" spans="1:22" x14ac:dyDescent="0.3">
      <c r="A180" t="s">
        <v>264</v>
      </c>
      <c r="B180" s="1">
        <v>46274</v>
      </c>
      <c r="C180" t="s">
        <v>86</v>
      </c>
      <c r="D180" t="s">
        <v>112</v>
      </c>
      <c r="E180" t="s">
        <v>47</v>
      </c>
      <c r="F180" t="s">
        <v>68</v>
      </c>
      <c r="G180" t="s">
        <v>27</v>
      </c>
      <c r="H180">
        <v>1</v>
      </c>
      <c r="I180" s="3">
        <v>299</v>
      </c>
      <c r="J180" s="4">
        <v>15</v>
      </c>
      <c r="K180" s="3">
        <v>254</v>
      </c>
      <c r="L180" s="3">
        <v>254</v>
      </c>
      <c r="M180" t="s">
        <v>28</v>
      </c>
      <c r="N180" t="s">
        <v>37</v>
      </c>
      <c r="O180" s="3">
        <v>55</v>
      </c>
      <c r="P180" t="s">
        <v>30</v>
      </c>
      <c r="Q180" s="3">
        <v>18.87</v>
      </c>
      <c r="R180" s="3">
        <v>129.96</v>
      </c>
      <c r="S180" s="3">
        <v>50.17</v>
      </c>
      <c r="T180" s="3">
        <v>254</v>
      </c>
      <c r="U180" s="3">
        <v>37</v>
      </c>
      <c r="V180" t="s">
        <v>87</v>
      </c>
    </row>
    <row r="181" spans="1:22" x14ac:dyDescent="0.3">
      <c r="A181" t="s">
        <v>265</v>
      </c>
      <c r="B181" s="1">
        <v>46169</v>
      </c>
      <c r="C181" t="s">
        <v>62</v>
      </c>
      <c r="D181" t="s">
        <v>40</v>
      </c>
      <c r="E181" t="s">
        <v>41</v>
      </c>
      <c r="F181" t="s">
        <v>68</v>
      </c>
      <c r="G181" t="s">
        <v>27</v>
      </c>
      <c r="H181">
        <v>1</v>
      </c>
      <c r="I181" s="3">
        <v>449</v>
      </c>
      <c r="J181" s="4">
        <v>5</v>
      </c>
      <c r="K181" s="3">
        <v>427</v>
      </c>
      <c r="L181" s="3">
        <v>427</v>
      </c>
      <c r="M181" t="s">
        <v>28</v>
      </c>
      <c r="N181" t="s">
        <v>37</v>
      </c>
      <c r="O181" s="3">
        <v>65</v>
      </c>
      <c r="P181" t="s">
        <v>30</v>
      </c>
      <c r="Q181" s="3">
        <v>23.48</v>
      </c>
      <c r="R181" s="3">
        <v>186.46</v>
      </c>
      <c r="S181" s="3">
        <v>152.06</v>
      </c>
      <c r="T181" s="3">
        <v>427</v>
      </c>
      <c r="U181" s="3">
        <v>22</v>
      </c>
      <c r="V181" t="s">
        <v>65</v>
      </c>
    </row>
    <row r="182" spans="1:22" x14ac:dyDescent="0.3">
      <c r="A182" t="s">
        <v>266</v>
      </c>
      <c r="B182" s="1">
        <v>46170</v>
      </c>
      <c r="C182" t="s">
        <v>62</v>
      </c>
      <c r="D182" t="s">
        <v>130</v>
      </c>
      <c r="E182" t="s">
        <v>54</v>
      </c>
      <c r="F182" t="s">
        <v>100</v>
      </c>
      <c r="G182" t="s">
        <v>101</v>
      </c>
      <c r="H182">
        <v>2</v>
      </c>
      <c r="I182" s="3">
        <v>699</v>
      </c>
      <c r="J182" s="4">
        <v>15</v>
      </c>
      <c r="K182" s="3">
        <v>594</v>
      </c>
      <c r="L182" s="3">
        <v>1188</v>
      </c>
      <c r="M182" t="s">
        <v>28</v>
      </c>
      <c r="N182" t="s">
        <v>37</v>
      </c>
      <c r="O182" s="3">
        <v>35</v>
      </c>
      <c r="P182" t="s">
        <v>30</v>
      </c>
      <c r="Q182" s="3">
        <v>72.099999999999994</v>
      </c>
      <c r="R182" s="3">
        <v>543.97</v>
      </c>
      <c r="S182" s="3">
        <v>536.92999999999995</v>
      </c>
      <c r="T182" s="3">
        <v>594</v>
      </c>
      <c r="U182" s="3">
        <v>22</v>
      </c>
      <c r="V182" t="s">
        <v>65</v>
      </c>
    </row>
    <row r="183" spans="1:22" x14ac:dyDescent="0.3">
      <c r="A183" t="s">
        <v>267</v>
      </c>
      <c r="B183" s="1">
        <v>46221</v>
      </c>
      <c r="C183" t="s">
        <v>45</v>
      </c>
      <c r="D183" t="s">
        <v>33</v>
      </c>
      <c r="E183" t="s">
        <v>34</v>
      </c>
      <c r="F183" t="s">
        <v>42</v>
      </c>
      <c r="G183" t="s">
        <v>27</v>
      </c>
      <c r="H183">
        <v>1</v>
      </c>
      <c r="I183" s="3">
        <v>599</v>
      </c>
      <c r="J183" s="4">
        <v>30</v>
      </c>
      <c r="K183" s="3">
        <v>419</v>
      </c>
      <c r="L183" s="3">
        <v>419</v>
      </c>
      <c r="M183" t="s">
        <v>28</v>
      </c>
      <c r="N183" t="s">
        <v>37</v>
      </c>
      <c r="O183" s="3">
        <v>65</v>
      </c>
      <c r="P183" t="s">
        <v>30</v>
      </c>
      <c r="Q183" s="3">
        <v>20.41</v>
      </c>
      <c r="R183" s="3">
        <v>217.38</v>
      </c>
      <c r="S183" s="3">
        <v>116.21</v>
      </c>
      <c r="T183" s="3">
        <v>419</v>
      </c>
      <c r="U183" s="3">
        <v>29</v>
      </c>
      <c r="V183" t="s">
        <v>50</v>
      </c>
    </row>
    <row r="184" spans="1:22" x14ac:dyDescent="0.3">
      <c r="A184" t="s">
        <v>268</v>
      </c>
      <c r="B184" s="1">
        <v>46150</v>
      </c>
      <c r="C184" t="s">
        <v>62</v>
      </c>
      <c r="D184" t="s">
        <v>130</v>
      </c>
      <c r="E184" t="s">
        <v>54</v>
      </c>
      <c r="F184" t="s">
        <v>42</v>
      </c>
      <c r="G184" t="s">
        <v>27</v>
      </c>
      <c r="H184">
        <v>1</v>
      </c>
      <c r="I184" s="3">
        <v>699</v>
      </c>
      <c r="J184" s="4">
        <v>20</v>
      </c>
      <c r="K184" s="3">
        <v>559</v>
      </c>
      <c r="L184" s="3">
        <v>559</v>
      </c>
      <c r="M184" t="s">
        <v>28</v>
      </c>
      <c r="N184" t="s">
        <v>37</v>
      </c>
      <c r="O184" s="3">
        <v>55</v>
      </c>
      <c r="P184" t="s">
        <v>30</v>
      </c>
      <c r="Q184" s="3">
        <v>34.25</v>
      </c>
      <c r="R184" s="3">
        <v>242.37</v>
      </c>
      <c r="S184" s="3">
        <v>227.38</v>
      </c>
      <c r="T184" s="3">
        <v>559</v>
      </c>
      <c r="U184" s="3">
        <v>19</v>
      </c>
      <c r="V184" t="s">
        <v>65</v>
      </c>
    </row>
    <row r="185" spans="1:22" x14ac:dyDescent="0.3">
      <c r="A185" t="s">
        <v>269</v>
      </c>
      <c r="B185" s="1">
        <v>46061</v>
      </c>
      <c r="C185" t="s">
        <v>95</v>
      </c>
      <c r="D185" t="s">
        <v>112</v>
      </c>
      <c r="E185" t="s">
        <v>47</v>
      </c>
      <c r="F185" t="s">
        <v>68</v>
      </c>
      <c r="G185" t="s">
        <v>27</v>
      </c>
      <c r="H185">
        <v>1</v>
      </c>
      <c r="I185" s="3">
        <v>299</v>
      </c>
      <c r="J185" s="4">
        <v>15</v>
      </c>
      <c r="K185" s="3">
        <v>254</v>
      </c>
      <c r="L185" s="3">
        <v>254</v>
      </c>
      <c r="M185" t="s">
        <v>28</v>
      </c>
      <c r="N185" t="s">
        <v>37</v>
      </c>
      <c r="O185" s="3">
        <v>35</v>
      </c>
      <c r="P185" t="s">
        <v>30</v>
      </c>
      <c r="Q185" s="3">
        <v>13.1</v>
      </c>
      <c r="R185" s="3">
        <v>129.54</v>
      </c>
      <c r="S185" s="3">
        <v>76.36</v>
      </c>
      <c r="T185" s="3">
        <v>254</v>
      </c>
      <c r="U185" s="3">
        <v>6</v>
      </c>
      <c r="V185" t="s">
        <v>96</v>
      </c>
    </row>
    <row r="186" spans="1:22" x14ac:dyDescent="0.3">
      <c r="A186" t="s">
        <v>270</v>
      </c>
      <c r="B186" s="1">
        <v>46151</v>
      </c>
      <c r="C186" t="s">
        <v>62</v>
      </c>
      <c r="D186" t="s">
        <v>24</v>
      </c>
      <c r="E186" t="s">
        <v>25</v>
      </c>
      <c r="F186" t="s">
        <v>100</v>
      </c>
      <c r="G186" t="s">
        <v>101</v>
      </c>
      <c r="H186">
        <v>1</v>
      </c>
      <c r="I186" s="3">
        <v>349</v>
      </c>
      <c r="J186" s="4">
        <v>20</v>
      </c>
      <c r="K186" s="3">
        <v>279</v>
      </c>
      <c r="L186" s="3">
        <v>279</v>
      </c>
      <c r="M186" t="s">
        <v>69</v>
      </c>
      <c r="N186" t="s">
        <v>29</v>
      </c>
      <c r="O186" s="3">
        <v>35</v>
      </c>
      <c r="P186" t="s">
        <v>70</v>
      </c>
      <c r="Q186" s="3">
        <v>22.14</v>
      </c>
      <c r="R186" s="3">
        <v>125.23</v>
      </c>
      <c r="S186" s="3">
        <v>96.63</v>
      </c>
      <c r="T186" s="3">
        <v>279</v>
      </c>
      <c r="U186" s="3">
        <v>19</v>
      </c>
      <c r="V186" t="s">
        <v>65</v>
      </c>
    </row>
    <row r="187" spans="1:22" x14ac:dyDescent="0.3">
      <c r="A187" t="s">
        <v>271</v>
      </c>
      <c r="B187" s="1">
        <v>46289</v>
      </c>
      <c r="C187" t="s">
        <v>86</v>
      </c>
      <c r="D187" t="s">
        <v>130</v>
      </c>
      <c r="E187" t="s">
        <v>54</v>
      </c>
      <c r="F187" t="s">
        <v>42</v>
      </c>
      <c r="G187" t="s">
        <v>27</v>
      </c>
      <c r="H187">
        <v>1</v>
      </c>
      <c r="I187" s="3">
        <v>699</v>
      </c>
      <c r="J187" s="4">
        <v>15</v>
      </c>
      <c r="K187" s="3">
        <v>594</v>
      </c>
      <c r="L187" s="3">
        <v>594</v>
      </c>
      <c r="M187" t="s">
        <v>28</v>
      </c>
      <c r="N187" t="s">
        <v>37</v>
      </c>
      <c r="O187" s="3">
        <v>35</v>
      </c>
      <c r="P187" t="s">
        <v>30</v>
      </c>
      <c r="Q187" s="3">
        <v>35.11</v>
      </c>
      <c r="R187" s="3">
        <v>281.10000000000002</v>
      </c>
      <c r="S187" s="3">
        <v>242.79</v>
      </c>
      <c r="T187" s="3">
        <v>594</v>
      </c>
      <c r="U187" s="3">
        <v>39</v>
      </c>
      <c r="V187" t="s">
        <v>87</v>
      </c>
    </row>
    <row r="188" spans="1:22" x14ac:dyDescent="0.3">
      <c r="A188" t="s">
        <v>272</v>
      </c>
      <c r="B188" s="1">
        <v>46173</v>
      </c>
      <c r="C188" t="s">
        <v>62</v>
      </c>
      <c r="D188" t="s">
        <v>63</v>
      </c>
      <c r="E188" t="s">
        <v>47</v>
      </c>
      <c r="F188" t="s">
        <v>55</v>
      </c>
      <c r="G188" t="s">
        <v>56</v>
      </c>
      <c r="H188">
        <v>1</v>
      </c>
      <c r="I188" s="3">
        <v>399</v>
      </c>
      <c r="J188" s="4">
        <v>15</v>
      </c>
      <c r="K188" s="3">
        <v>339</v>
      </c>
      <c r="L188" s="3">
        <v>339</v>
      </c>
      <c r="M188" t="s">
        <v>28</v>
      </c>
      <c r="N188" t="s">
        <v>29</v>
      </c>
      <c r="O188" s="3">
        <v>55</v>
      </c>
      <c r="P188" t="s">
        <v>30</v>
      </c>
      <c r="Q188" s="3">
        <v>15.96</v>
      </c>
      <c r="R188" s="3">
        <v>159.58000000000001</v>
      </c>
      <c r="S188" s="3">
        <v>108.46</v>
      </c>
      <c r="T188" s="3">
        <v>339</v>
      </c>
      <c r="U188" s="3">
        <v>22</v>
      </c>
      <c r="V188" t="s">
        <v>65</v>
      </c>
    </row>
    <row r="189" spans="1:22" x14ac:dyDescent="0.3">
      <c r="A189" t="s">
        <v>273</v>
      </c>
      <c r="B189" s="1">
        <v>46121</v>
      </c>
      <c r="C189" t="s">
        <v>23</v>
      </c>
      <c r="D189" t="s">
        <v>63</v>
      </c>
      <c r="E189" t="s">
        <v>47</v>
      </c>
      <c r="F189" t="s">
        <v>55</v>
      </c>
      <c r="G189" t="s">
        <v>56</v>
      </c>
      <c r="H189">
        <v>1</v>
      </c>
      <c r="I189" s="3">
        <v>399</v>
      </c>
      <c r="J189" s="4">
        <v>10</v>
      </c>
      <c r="K189" s="3">
        <v>359</v>
      </c>
      <c r="L189" s="3">
        <v>359</v>
      </c>
      <c r="M189" t="s">
        <v>28</v>
      </c>
      <c r="N189" t="s">
        <v>37</v>
      </c>
      <c r="O189" s="3">
        <v>35</v>
      </c>
      <c r="P189" t="s">
        <v>30</v>
      </c>
      <c r="Q189" s="3">
        <v>20.74</v>
      </c>
      <c r="R189" s="3">
        <v>173.26</v>
      </c>
      <c r="S189" s="3">
        <v>130</v>
      </c>
      <c r="T189" s="3">
        <v>359</v>
      </c>
      <c r="U189" s="3">
        <v>15</v>
      </c>
      <c r="V189" t="s">
        <v>31</v>
      </c>
    </row>
    <row r="190" spans="1:22" x14ac:dyDescent="0.3">
      <c r="A190" t="s">
        <v>274</v>
      </c>
      <c r="B190" s="1">
        <v>46285</v>
      </c>
      <c r="C190" t="s">
        <v>86</v>
      </c>
      <c r="D190" t="s">
        <v>74</v>
      </c>
      <c r="E190" t="s">
        <v>75</v>
      </c>
      <c r="F190" t="s">
        <v>42</v>
      </c>
      <c r="G190" t="s">
        <v>27</v>
      </c>
      <c r="H190">
        <v>1</v>
      </c>
      <c r="I190" s="3">
        <v>549</v>
      </c>
      <c r="J190" s="4">
        <v>15</v>
      </c>
      <c r="K190" s="3">
        <v>467</v>
      </c>
      <c r="L190" s="3">
        <v>467</v>
      </c>
      <c r="M190" t="s">
        <v>28</v>
      </c>
      <c r="N190" t="s">
        <v>37</v>
      </c>
      <c r="O190" s="3">
        <v>65</v>
      </c>
      <c r="P190" t="s">
        <v>30</v>
      </c>
      <c r="Q190" s="3">
        <v>30.27</v>
      </c>
      <c r="R190" s="3">
        <v>205.54</v>
      </c>
      <c r="S190" s="3">
        <v>166.19</v>
      </c>
      <c r="T190" s="3">
        <v>467</v>
      </c>
      <c r="U190" s="3">
        <v>38</v>
      </c>
      <c r="V190" t="s">
        <v>87</v>
      </c>
    </row>
    <row r="191" spans="1:22" x14ac:dyDescent="0.3">
      <c r="A191" t="s">
        <v>275</v>
      </c>
      <c r="B191" s="1">
        <v>46274</v>
      </c>
      <c r="C191" t="s">
        <v>86</v>
      </c>
      <c r="D191" t="s">
        <v>59</v>
      </c>
      <c r="E191" t="s">
        <v>60</v>
      </c>
      <c r="F191" t="s">
        <v>100</v>
      </c>
      <c r="G191" t="s">
        <v>101</v>
      </c>
      <c r="H191">
        <v>1</v>
      </c>
      <c r="I191" s="3">
        <v>299</v>
      </c>
      <c r="J191" s="4">
        <v>20</v>
      </c>
      <c r="K191" s="3">
        <v>239</v>
      </c>
      <c r="L191" s="3">
        <v>239</v>
      </c>
      <c r="M191" t="s">
        <v>28</v>
      </c>
      <c r="N191" t="s">
        <v>37</v>
      </c>
      <c r="O191" s="3">
        <v>65</v>
      </c>
      <c r="P191" t="s">
        <v>30</v>
      </c>
      <c r="Q191" s="3">
        <v>15.23</v>
      </c>
      <c r="R191" s="3">
        <v>114.7</v>
      </c>
      <c r="S191" s="3">
        <v>44.07</v>
      </c>
      <c r="T191" s="3">
        <v>239</v>
      </c>
      <c r="U191" s="3">
        <v>37</v>
      </c>
      <c r="V191" t="s">
        <v>87</v>
      </c>
    </row>
    <row r="192" spans="1:22" x14ac:dyDescent="0.3">
      <c r="A192" t="s">
        <v>276</v>
      </c>
      <c r="B192" s="1">
        <v>46166</v>
      </c>
      <c r="C192" t="s">
        <v>62</v>
      </c>
      <c r="D192" t="s">
        <v>59</v>
      </c>
      <c r="E192" t="s">
        <v>60</v>
      </c>
      <c r="F192" t="s">
        <v>109</v>
      </c>
      <c r="G192" t="s">
        <v>110</v>
      </c>
      <c r="H192">
        <v>1</v>
      </c>
      <c r="I192" s="3">
        <v>299</v>
      </c>
      <c r="J192" s="4">
        <v>30</v>
      </c>
      <c r="K192" s="3">
        <v>209</v>
      </c>
      <c r="L192" s="3">
        <v>209</v>
      </c>
      <c r="M192" t="s">
        <v>28</v>
      </c>
      <c r="N192" t="s">
        <v>37</v>
      </c>
      <c r="O192" s="3">
        <v>35</v>
      </c>
      <c r="P192" t="s">
        <v>30</v>
      </c>
      <c r="Q192" s="3">
        <v>14.05</v>
      </c>
      <c r="R192" s="3">
        <v>97.54</v>
      </c>
      <c r="S192" s="3">
        <v>62.41</v>
      </c>
      <c r="T192" s="3">
        <v>209</v>
      </c>
      <c r="U192" s="3">
        <v>21</v>
      </c>
      <c r="V192" t="s">
        <v>65</v>
      </c>
    </row>
    <row r="193" spans="1:22" x14ac:dyDescent="0.3">
      <c r="A193" t="s">
        <v>277</v>
      </c>
      <c r="B193" s="1">
        <v>46134</v>
      </c>
      <c r="C193" t="s">
        <v>23</v>
      </c>
      <c r="D193" t="s">
        <v>112</v>
      </c>
      <c r="E193" t="s">
        <v>47</v>
      </c>
      <c r="F193" t="s">
        <v>42</v>
      </c>
      <c r="G193" t="s">
        <v>27</v>
      </c>
      <c r="H193">
        <v>2</v>
      </c>
      <c r="I193" s="3">
        <v>299</v>
      </c>
      <c r="J193" s="4">
        <v>20</v>
      </c>
      <c r="K193" s="3">
        <v>239</v>
      </c>
      <c r="L193" s="3">
        <v>478</v>
      </c>
      <c r="M193" t="s">
        <v>28</v>
      </c>
      <c r="N193" t="s">
        <v>37</v>
      </c>
      <c r="O193" s="3">
        <v>65</v>
      </c>
      <c r="P193" t="s">
        <v>30</v>
      </c>
      <c r="Q193" s="3">
        <v>35.630000000000003</v>
      </c>
      <c r="R193" s="3">
        <v>228.9</v>
      </c>
      <c r="S193" s="3">
        <v>148.47</v>
      </c>
      <c r="T193" s="3">
        <v>239</v>
      </c>
      <c r="U193" s="3">
        <v>17</v>
      </c>
      <c r="V193" t="s">
        <v>31</v>
      </c>
    </row>
    <row r="194" spans="1:22" x14ac:dyDescent="0.3">
      <c r="A194" t="s">
        <v>278</v>
      </c>
      <c r="B194" s="1">
        <v>46082</v>
      </c>
      <c r="C194" t="s">
        <v>39</v>
      </c>
      <c r="D194" t="s">
        <v>112</v>
      </c>
      <c r="E194" t="s">
        <v>47</v>
      </c>
      <c r="F194" t="s">
        <v>42</v>
      </c>
      <c r="G194" t="s">
        <v>27</v>
      </c>
      <c r="H194">
        <v>1</v>
      </c>
      <c r="I194" s="3">
        <v>299</v>
      </c>
      <c r="J194" s="4">
        <v>20</v>
      </c>
      <c r="K194" s="3">
        <v>239</v>
      </c>
      <c r="L194" s="3">
        <v>239</v>
      </c>
      <c r="M194" t="s">
        <v>28</v>
      </c>
      <c r="N194" t="s">
        <v>29</v>
      </c>
      <c r="O194" s="3">
        <v>65</v>
      </c>
      <c r="P194" t="s">
        <v>30</v>
      </c>
      <c r="Q194" s="3">
        <v>14.27</v>
      </c>
      <c r="R194" s="3">
        <v>114.18</v>
      </c>
      <c r="S194" s="3">
        <v>45.55</v>
      </c>
      <c r="T194" s="3">
        <v>239</v>
      </c>
      <c r="U194" s="3">
        <v>9</v>
      </c>
      <c r="V194" t="s">
        <v>43</v>
      </c>
    </row>
    <row r="195" spans="1:22" x14ac:dyDescent="0.3">
      <c r="A195" t="s">
        <v>279</v>
      </c>
      <c r="B195" s="1">
        <v>46024</v>
      </c>
      <c r="C195" t="s">
        <v>52</v>
      </c>
      <c r="D195" t="s">
        <v>33</v>
      </c>
      <c r="E195" t="s">
        <v>34</v>
      </c>
      <c r="F195" t="s">
        <v>26</v>
      </c>
      <c r="G195" t="s">
        <v>27</v>
      </c>
      <c r="H195">
        <v>1</v>
      </c>
      <c r="I195" s="3">
        <v>599</v>
      </c>
      <c r="J195" s="4">
        <v>25</v>
      </c>
      <c r="K195" s="3">
        <v>449</v>
      </c>
      <c r="L195" s="3">
        <v>449</v>
      </c>
      <c r="M195" t="s">
        <v>28</v>
      </c>
      <c r="N195" t="s">
        <v>37</v>
      </c>
      <c r="O195" s="3">
        <v>55</v>
      </c>
      <c r="P195" t="s">
        <v>30</v>
      </c>
      <c r="Q195" s="3">
        <v>35.130000000000003</v>
      </c>
      <c r="R195" s="3">
        <v>197.58</v>
      </c>
      <c r="S195" s="3">
        <v>161.29</v>
      </c>
      <c r="T195" s="3">
        <v>449</v>
      </c>
      <c r="U195" s="3">
        <v>1</v>
      </c>
      <c r="V195" t="s">
        <v>57</v>
      </c>
    </row>
    <row r="196" spans="1:22" x14ac:dyDescent="0.3">
      <c r="A196" t="s">
        <v>280</v>
      </c>
      <c r="B196" s="1">
        <v>46276</v>
      </c>
      <c r="C196" t="s">
        <v>86</v>
      </c>
      <c r="D196" t="s">
        <v>130</v>
      </c>
      <c r="E196" t="s">
        <v>54</v>
      </c>
      <c r="F196" t="s">
        <v>42</v>
      </c>
      <c r="G196" t="s">
        <v>27</v>
      </c>
      <c r="H196">
        <v>1</v>
      </c>
      <c r="I196" s="3">
        <v>699</v>
      </c>
      <c r="J196" s="4">
        <v>15</v>
      </c>
      <c r="K196" s="3">
        <v>594</v>
      </c>
      <c r="L196" s="3">
        <v>594</v>
      </c>
      <c r="M196" t="s">
        <v>28</v>
      </c>
      <c r="N196" t="s">
        <v>37</v>
      </c>
      <c r="O196" s="3">
        <v>55</v>
      </c>
      <c r="P196" t="s">
        <v>30</v>
      </c>
      <c r="Q196" s="3">
        <v>44.75</v>
      </c>
      <c r="R196" s="3">
        <v>276.11</v>
      </c>
      <c r="S196" s="3">
        <v>218.14</v>
      </c>
      <c r="T196" s="3">
        <v>594</v>
      </c>
      <c r="U196" s="3">
        <v>37</v>
      </c>
      <c r="V196" t="s">
        <v>87</v>
      </c>
    </row>
    <row r="197" spans="1:22" x14ac:dyDescent="0.3">
      <c r="A197" t="s">
        <v>281</v>
      </c>
      <c r="B197" s="1">
        <v>46162</v>
      </c>
      <c r="C197" t="s">
        <v>62</v>
      </c>
      <c r="D197" t="s">
        <v>115</v>
      </c>
      <c r="E197" t="s">
        <v>116</v>
      </c>
      <c r="F197" t="s">
        <v>26</v>
      </c>
      <c r="G197" t="s">
        <v>27</v>
      </c>
      <c r="H197">
        <v>1</v>
      </c>
      <c r="I197" s="3">
        <v>249</v>
      </c>
      <c r="J197" s="4">
        <v>25</v>
      </c>
      <c r="K197" s="3">
        <v>187</v>
      </c>
      <c r="L197" s="3">
        <v>187</v>
      </c>
      <c r="M197" t="s">
        <v>76</v>
      </c>
      <c r="N197" t="s">
        <v>29</v>
      </c>
      <c r="O197" s="3">
        <v>45</v>
      </c>
      <c r="P197" t="s">
        <v>30</v>
      </c>
      <c r="Q197" s="3">
        <v>11.42</v>
      </c>
      <c r="R197" s="3">
        <v>90.37</v>
      </c>
      <c r="S197" s="3">
        <v>40.21</v>
      </c>
      <c r="T197" s="3">
        <v>187</v>
      </c>
      <c r="U197" s="3">
        <v>21</v>
      </c>
      <c r="V197" t="s">
        <v>65</v>
      </c>
    </row>
    <row r="198" spans="1:22" x14ac:dyDescent="0.3">
      <c r="A198" t="s">
        <v>282</v>
      </c>
      <c r="B198" s="1">
        <v>46059</v>
      </c>
      <c r="C198" t="s">
        <v>95</v>
      </c>
      <c r="D198" t="s">
        <v>59</v>
      </c>
      <c r="E198" t="s">
        <v>60</v>
      </c>
      <c r="F198" t="s">
        <v>26</v>
      </c>
      <c r="G198" t="s">
        <v>27</v>
      </c>
      <c r="H198">
        <v>1</v>
      </c>
      <c r="I198" s="3">
        <v>299</v>
      </c>
      <c r="J198" s="4">
        <v>30</v>
      </c>
      <c r="K198" s="3">
        <v>209</v>
      </c>
      <c r="L198" s="3">
        <v>209</v>
      </c>
      <c r="M198" t="s">
        <v>28</v>
      </c>
      <c r="N198" t="s">
        <v>29</v>
      </c>
      <c r="O198" s="3">
        <v>45</v>
      </c>
      <c r="P198" t="s">
        <v>30</v>
      </c>
      <c r="Q198" s="3">
        <v>8.43</v>
      </c>
      <c r="R198" s="3">
        <v>108.63</v>
      </c>
      <c r="S198" s="3">
        <v>46.94</v>
      </c>
      <c r="T198" s="3">
        <v>209</v>
      </c>
      <c r="U198" s="3">
        <v>6</v>
      </c>
      <c r="V198" t="s">
        <v>96</v>
      </c>
    </row>
    <row r="199" spans="1:22" x14ac:dyDescent="0.3">
      <c r="A199" t="s">
        <v>283</v>
      </c>
      <c r="B199" s="1">
        <v>46182</v>
      </c>
      <c r="C199" t="s">
        <v>78</v>
      </c>
      <c r="D199" t="s">
        <v>93</v>
      </c>
      <c r="E199" t="s">
        <v>47</v>
      </c>
      <c r="F199" t="s">
        <v>79</v>
      </c>
      <c r="G199" t="s">
        <v>80</v>
      </c>
      <c r="H199">
        <v>1</v>
      </c>
      <c r="I199" s="3">
        <v>699</v>
      </c>
      <c r="J199" s="4">
        <v>5</v>
      </c>
      <c r="K199" s="3">
        <v>664</v>
      </c>
      <c r="L199" s="3">
        <v>664</v>
      </c>
      <c r="M199" t="s">
        <v>76</v>
      </c>
      <c r="N199" t="s">
        <v>37</v>
      </c>
      <c r="O199" s="3">
        <v>35</v>
      </c>
      <c r="P199" t="s">
        <v>30</v>
      </c>
      <c r="Q199" s="3">
        <v>43.37</v>
      </c>
      <c r="R199" s="3">
        <v>283.45999999999998</v>
      </c>
      <c r="S199" s="3">
        <v>302.17</v>
      </c>
      <c r="T199" s="3">
        <v>664</v>
      </c>
      <c r="U199" s="3">
        <v>24</v>
      </c>
      <c r="V199" t="s">
        <v>81</v>
      </c>
    </row>
    <row r="200" spans="1:22" x14ac:dyDescent="0.3">
      <c r="A200" t="s">
        <v>284</v>
      </c>
      <c r="B200" s="1">
        <v>46031</v>
      </c>
      <c r="C200" t="s">
        <v>52</v>
      </c>
      <c r="D200" t="s">
        <v>40</v>
      </c>
      <c r="E200" t="s">
        <v>41</v>
      </c>
      <c r="F200" t="s">
        <v>100</v>
      </c>
      <c r="G200" t="s">
        <v>101</v>
      </c>
      <c r="H200">
        <v>2</v>
      </c>
      <c r="I200" s="3">
        <v>449</v>
      </c>
      <c r="J200" s="4">
        <v>30</v>
      </c>
      <c r="K200" s="3">
        <v>314</v>
      </c>
      <c r="L200" s="3">
        <v>628</v>
      </c>
      <c r="M200" t="s">
        <v>102</v>
      </c>
      <c r="N200" t="s">
        <v>37</v>
      </c>
      <c r="O200" s="3">
        <v>55</v>
      </c>
      <c r="P200" t="s">
        <v>30</v>
      </c>
      <c r="Q200" s="3">
        <v>40.53</v>
      </c>
      <c r="R200" s="3">
        <v>269.32</v>
      </c>
      <c r="S200" s="3">
        <v>263.14999999999998</v>
      </c>
      <c r="T200" s="3">
        <v>314</v>
      </c>
      <c r="U200" s="3">
        <v>2</v>
      </c>
      <c r="V200" t="s">
        <v>57</v>
      </c>
    </row>
    <row r="201" spans="1:22" x14ac:dyDescent="0.3">
      <c r="A201" t="s">
        <v>285</v>
      </c>
      <c r="B201" s="1">
        <v>46255</v>
      </c>
      <c r="C201" t="s">
        <v>67</v>
      </c>
      <c r="D201" t="s">
        <v>130</v>
      </c>
      <c r="E201" t="s">
        <v>54</v>
      </c>
      <c r="F201" t="s">
        <v>109</v>
      </c>
      <c r="G201" t="s">
        <v>110</v>
      </c>
      <c r="H201">
        <v>1</v>
      </c>
      <c r="I201" s="3">
        <v>699</v>
      </c>
      <c r="J201" s="4">
        <v>20</v>
      </c>
      <c r="K201" s="3">
        <v>559</v>
      </c>
      <c r="L201" s="3">
        <v>559</v>
      </c>
      <c r="M201" t="s">
        <v>28</v>
      </c>
      <c r="N201" t="s">
        <v>29</v>
      </c>
      <c r="O201" s="3">
        <v>35</v>
      </c>
      <c r="P201" t="s">
        <v>30</v>
      </c>
      <c r="Q201" s="3">
        <v>43.55</v>
      </c>
      <c r="R201" s="3">
        <v>238.82</v>
      </c>
      <c r="S201" s="3">
        <v>241.63</v>
      </c>
      <c r="T201" s="3">
        <v>559</v>
      </c>
      <c r="U201" s="3">
        <v>34</v>
      </c>
      <c r="V201" t="s">
        <v>71</v>
      </c>
    </row>
    <row r="202" spans="1:22" x14ac:dyDescent="0.3">
      <c r="A202" t="s">
        <v>286</v>
      </c>
      <c r="B202" s="1">
        <v>46121</v>
      </c>
      <c r="C202" t="s">
        <v>23</v>
      </c>
      <c r="D202" t="s">
        <v>33</v>
      </c>
      <c r="E202" t="s">
        <v>34</v>
      </c>
      <c r="F202" t="s">
        <v>109</v>
      </c>
      <c r="G202" t="s">
        <v>110</v>
      </c>
      <c r="H202">
        <v>1</v>
      </c>
      <c r="I202" s="3">
        <v>599</v>
      </c>
      <c r="J202" s="4">
        <v>10</v>
      </c>
      <c r="K202" s="3">
        <v>539</v>
      </c>
      <c r="L202" s="3">
        <v>539</v>
      </c>
      <c r="M202" t="s">
        <v>28</v>
      </c>
      <c r="N202" t="s">
        <v>37</v>
      </c>
      <c r="O202" s="3">
        <v>45</v>
      </c>
      <c r="P202" t="s">
        <v>30</v>
      </c>
      <c r="Q202" s="3">
        <v>26.78</v>
      </c>
      <c r="R202" s="3">
        <v>252.16</v>
      </c>
      <c r="S202" s="3">
        <v>215.06</v>
      </c>
      <c r="T202" s="3">
        <v>539</v>
      </c>
      <c r="U202" s="3">
        <v>15</v>
      </c>
      <c r="V202" t="s">
        <v>31</v>
      </c>
    </row>
    <row r="203" spans="1:22" x14ac:dyDescent="0.3">
      <c r="A203" t="s">
        <v>287</v>
      </c>
      <c r="B203" s="1">
        <v>46169</v>
      </c>
      <c r="C203" t="s">
        <v>62</v>
      </c>
      <c r="D203" t="s">
        <v>24</v>
      </c>
      <c r="E203" t="s">
        <v>25</v>
      </c>
      <c r="F203" t="s">
        <v>79</v>
      </c>
      <c r="G203" t="s">
        <v>80</v>
      </c>
      <c r="H203">
        <v>1</v>
      </c>
      <c r="I203" s="3">
        <v>349</v>
      </c>
      <c r="J203" s="4">
        <v>15</v>
      </c>
      <c r="K203" s="3">
        <v>297</v>
      </c>
      <c r="L203" s="3">
        <v>297</v>
      </c>
      <c r="M203" t="s">
        <v>28</v>
      </c>
      <c r="N203" t="s">
        <v>37</v>
      </c>
      <c r="O203" s="3">
        <v>65</v>
      </c>
      <c r="P203" t="s">
        <v>30</v>
      </c>
      <c r="Q203" s="3">
        <v>15.36</v>
      </c>
      <c r="R203" s="3">
        <v>129.26</v>
      </c>
      <c r="S203" s="3">
        <v>87.38</v>
      </c>
      <c r="T203" s="3">
        <v>297</v>
      </c>
      <c r="U203" s="3">
        <v>22</v>
      </c>
      <c r="V203" t="s">
        <v>65</v>
      </c>
    </row>
    <row r="204" spans="1:22" x14ac:dyDescent="0.3">
      <c r="A204" t="s">
        <v>288</v>
      </c>
      <c r="B204" s="1">
        <v>46230</v>
      </c>
      <c r="C204" t="s">
        <v>45</v>
      </c>
      <c r="D204" t="s">
        <v>112</v>
      </c>
      <c r="E204" t="s">
        <v>47</v>
      </c>
      <c r="F204" t="s">
        <v>55</v>
      </c>
      <c r="G204" t="s">
        <v>56</v>
      </c>
      <c r="H204">
        <v>1</v>
      </c>
      <c r="I204" s="3">
        <v>299</v>
      </c>
      <c r="J204" s="4">
        <v>15</v>
      </c>
      <c r="K204" s="3">
        <v>254</v>
      </c>
      <c r="L204" s="3">
        <v>254</v>
      </c>
      <c r="M204" t="s">
        <v>76</v>
      </c>
      <c r="N204" t="s">
        <v>37</v>
      </c>
      <c r="O204" s="3">
        <v>35</v>
      </c>
      <c r="P204" t="s">
        <v>30</v>
      </c>
      <c r="Q204" s="3">
        <v>10.5</v>
      </c>
      <c r="R204" s="3">
        <v>112.13</v>
      </c>
      <c r="S204" s="3">
        <v>96.37</v>
      </c>
      <c r="T204" s="3">
        <v>254</v>
      </c>
      <c r="U204" s="3">
        <v>31</v>
      </c>
      <c r="V204" t="s">
        <v>50</v>
      </c>
    </row>
    <row r="205" spans="1:22" x14ac:dyDescent="0.3">
      <c r="A205" t="s">
        <v>289</v>
      </c>
      <c r="B205" s="1">
        <v>46153</v>
      </c>
      <c r="C205" t="s">
        <v>62</v>
      </c>
      <c r="D205" t="s">
        <v>53</v>
      </c>
      <c r="E205" t="s">
        <v>54</v>
      </c>
      <c r="F205" t="s">
        <v>109</v>
      </c>
      <c r="G205" t="s">
        <v>110</v>
      </c>
      <c r="H205">
        <v>1</v>
      </c>
      <c r="I205" s="3">
        <v>499</v>
      </c>
      <c r="J205" s="4">
        <v>25</v>
      </c>
      <c r="K205" s="3">
        <v>374</v>
      </c>
      <c r="L205" s="3">
        <v>374</v>
      </c>
      <c r="M205" t="s">
        <v>64</v>
      </c>
      <c r="N205" t="s">
        <v>37</v>
      </c>
      <c r="O205" s="3">
        <v>45</v>
      </c>
      <c r="P205" t="s">
        <v>30</v>
      </c>
      <c r="Q205" s="3">
        <v>23.72</v>
      </c>
      <c r="R205" s="3">
        <v>180.45</v>
      </c>
      <c r="S205" s="3">
        <v>124.83</v>
      </c>
      <c r="T205" s="3">
        <v>374</v>
      </c>
      <c r="U205" s="3">
        <v>20</v>
      </c>
      <c r="V205" t="s">
        <v>65</v>
      </c>
    </row>
    <row r="206" spans="1:22" x14ac:dyDescent="0.3">
      <c r="A206" t="s">
        <v>290</v>
      </c>
      <c r="B206" s="1">
        <v>46174</v>
      </c>
      <c r="C206" t="s">
        <v>78</v>
      </c>
      <c r="D206" t="s">
        <v>46</v>
      </c>
      <c r="E206" t="s">
        <v>47</v>
      </c>
      <c r="F206" t="s">
        <v>26</v>
      </c>
      <c r="G206" t="s">
        <v>27</v>
      </c>
      <c r="H206">
        <v>1</v>
      </c>
      <c r="I206" s="3">
        <v>899</v>
      </c>
      <c r="J206" s="4">
        <v>30</v>
      </c>
      <c r="K206" s="3">
        <v>629</v>
      </c>
      <c r="L206" s="3">
        <v>629</v>
      </c>
      <c r="M206" t="s">
        <v>64</v>
      </c>
      <c r="N206" t="s">
        <v>29</v>
      </c>
      <c r="O206" s="3">
        <v>45</v>
      </c>
      <c r="P206" t="s">
        <v>30</v>
      </c>
      <c r="Q206" s="3">
        <v>39.33</v>
      </c>
      <c r="R206" s="3">
        <v>271.73</v>
      </c>
      <c r="S206" s="3">
        <v>272.94</v>
      </c>
      <c r="T206" s="3">
        <v>629</v>
      </c>
      <c r="U206" s="3">
        <v>23</v>
      </c>
      <c r="V206" t="s">
        <v>81</v>
      </c>
    </row>
    <row r="207" spans="1:22" x14ac:dyDescent="0.3">
      <c r="A207" t="s">
        <v>291</v>
      </c>
      <c r="B207" s="1">
        <v>46076</v>
      </c>
      <c r="C207" t="s">
        <v>95</v>
      </c>
      <c r="D207" t="s">
        <v>40</v>
      </c>
      <c r="E207" t="s">
        <v>41</v>
      </c>
      <c r="F207" t="s">
        <v>26</v>
      </c>
      <c r="G207" t="s">
        <v>27</v>
      </c>
      <c r="H207">
        <v>1</v>
      </c>
      <c r="I207" s="3">
        <v>449</v>
      </c>
      <c r="J207" s="4">
        <v>10</v>
      </c>
      <c r="K207" s="3">
        <v>404</v>
      </c>
      <c r="L207" s="3">
        <v>404</v>
      </c>
      <c r="M207" t="s">
        <v>102</v>
      </c>
      <c r="N207" t="s">
        <v>29</v>
      </c>
      <c r="O207" s="3">
        <v>65</v>
      </c>
      <c r="P207" t="s">
        <v>30</v>
      </c>
      <c r="Q207" s="3">
        <v>26.33</v>
      </c>
      <c r="R207" s="3">
        <v>171.88</v>
      </c>
      <c r="S207" s="3">
        <v>140.79</v>
      </c>
      <c r="T207" s="3">
        <v>404</v>
      </c>
      <c r="U207" s="3">
        <v>9</v>
      </c>
      <c r="V207" t="s">
        <v>96</v>
      </c>
    </row>
    <row r="208" spans="1:22" x14ac:dyDescent="0.3">
      <c r="A208" t="s">
        <v>292</v>
      </c>
      <c r="B208" s="1">
        <v>46142</v>
      </c>
      <c r="C208" t="s">
        <v>23</v>
      </c>
      <c r="D208" t="s">
        <v>53</v>
      </c>
      <c r="E208" t="s">
        <v>54</v>
      </c>
      <c r="F208" t="s">
        <v>42</v>
      </c>
      <c r="G208" t="s">
        <v>27</v>
      </c>
      <c r="H208">
        <v>1</v>
      </c>
      <c r="I208" s="3">
        <v>499</v>
      </c>
      <c r="J208" s="4">
        <v>5</v>
      </c>
      <c r="K208" s="3">
        <v>474</v>
      </c>
      <c r="L208" s="3">
        <v>474</v>
      </c>
      <c r="M208" t="s">
        <v>28</v>
      </c>
      <c r="N208" t="s">
        <v>37</v>
      </c>
      <c r="O208" s="3">
        <v>45</v>
      </c>
      <c r="P208" t="s">
        <v>30</v>
      </c>
      <c r="Q208" s="3">
        <v>35.94</v>
      </c>
      <c r="R208" s="3">
        <v>226.73</v>
      </c>
      <c r="S208" s="3">
        <v>166.33</v>
      </c>
      <c r="T208" s="3">
        <v>474</v>
      </c>
      <c r="U208" s="3">
        <v>18</v>
      </c>
      <c r="V208" t="s">
        <v>31</v>
      </c>
    </row>
    <row r="209" spans="1:22" x14ac:dyDescent="0.3">
      <c r="A209" t="s">
        <v>293</v>
      </c>
      <c r="B209" s="1">
        <v>46183</v>
      </c>
      <c r="C209" t="s">
        <v>78</v>
      </c>
      <c r="D209" t="s">
        <v>112</v>
      </c>
      <c r="E209" t="s">
        <v>47</v>
      </c>
      <c r="F209" t="s">
        <v>100</v>
      </c>
      <c r="G209" t="s">
        <v>101</v>
      </c>
      <c r="H209">
        <v>2</v>
      </c>
      <c r="I209" s="3">
        <v>299</v>
      </c>
      <c r="J209" s="4">
        <v>10</v>
      </c>
      <c r="K209" s="3">
        <v>269</v>
      </c>
      <c r="L209" s="3">
        <v>538</v>
      </c>
      <c r="M209" t="s">
        <v>69</v>
      </c>
      <c r="N209" t="s">
        <v>29</v>
      </c>
      <c r="O209" s="3">
        <v>35</v>
      </c>
      <c r="P209" t="s">
        <v>70</v>
      </c>
      <c r="Q209" s="3">
        <v>29.27</v>
      </c>
      <c r="R209" s="3">
        <v>240.51</v>
      </c>
      <c r="S209" s="3">
        <v>233.22</v>
      </c>
      <c r="T209" s="3">
        <v>269</v>
      </c>
      <c r="U209" s="3">
        <v>24</v>
      </c>
      <c r="V209" t="s">
        <v>81</v>
      </c>
    </row>
    <row r="210" spans="1:22" x14ac:dyDescent="0.3">
      <c r="A210" t="s">
        <v>294</v>
      </c>
      <c r="B210" s="1">
        <v>46138</v>
      </c>
      <c r="C210" t="s">
        <v>23</v>
      </c>
      <c r="D210" t="s">
        <v>59</v>
      </c>
      <c r="E210" t="s">
        <v>60</v>
      </c>
      <c r="F210" t="s">
        <v>35</v>
      </c>
      <c r="G210" t="s">
        <v>36</v>
      </c>
      <c r="H210">
        <v>2</v>
      </c>
      <c r="I210" s="3">
        <v>299</v>
      </c>
      <c r="J210" s="4">
        <v>35</v>
      </c>
      <c r="K210" s="3">
        <v>194</v>
      </c>
      <c r="L210" s="3">
        <v>388</v>
      </c>
      <c r="M210" t="s">
        <v>28</v>
      </c>
      <c r="N210" t="s">
        <v>29</v>
      </c>
      <c r="O210" s="3">
        <v>35</v>
      </c>
      <c r="P210" t="s">
        <v>30</v>
      </c>
      <c r="Q210" s="3">
        <v>21.38</v>
      </c>
      <c r="R210" s="3">
        <v>199.29</v>
      </c>
      <c r="S210" s="3">
        <v>132.33000000000001</v>
      </c>
      <c r="T210" s="3">
        <v>194</v>
      </c>
      <c r="U210" s="3">
        <v>17</v>
      </c>
      <c r="V210" t="s">
        <v>31</v>
      </c>
    </row>
    <row r="211" spans="1:22" x14ac:dyDescent="0.3">
      <c r="A211" t="s">
        <v>295</v>
      </c>
      <c r="B211" s="1">
        <v>46097</v>
      </c>
      <c r="C211" t="s">
        <v>39</v>
      </c>
      <c r="D211" t="s">
        <v>93</v>
      </c>
      <c r="E211" t="s">
        <v>47</v>
      </c>
      <c r="F211" t="s">
        <v>68</v>
      </c>
      <c r="G211" t="s">
        <v>27</v>
      </c>
      <c r="H211">
        <v>1</v>
      </c>
      <c r="I211" s="3">
        <v>699</v>
      </c>
      <c r="J211" s="4">
        <v>25</v>
      </c>
      <c r="K211" s="3">
        <v>524</v>
      </c>
      <c r="L211" s="3">
        <v>524</v>
      </c>
      <c r="M211" t="s">
        <v>69</v>
      </c>
      <c r="N211" t="s">
        <v>37</v>
      </c>
      <c r="O211" s="3">
        <v>35</v>
      </c>
      <c r="P211" t="s">
        <v>70</v>
      </c>
      <c r="Q211" s="3">
        <v>35.71</v>
      </c>
      <c r="R211" s="3">
        <v>220.31</v>
      </c>
      <c r="S211" s="3">
        <v>232.98</v>
      </c>
      <c r="T211" s="3">
        <v>524</v>
      </c>
      <c r="U211" s="3">
        <v>12</v>
      </c>
      <c r="V211" t="s">
        <v>43</v>
      </c>
    </row>
    <row r="212" spans="1:22" x14ac:dyDescent="0.3">
      <c r="A212" t="s">
        <v>296</v>
      </c>
      <c r="B212" s="1">
        <v>46135</v>
      </c>
      <c r="C212" t="s">
        <v>23</v>
      </c>
      <c r="D212" t="s">
        <v>63</v>
      </c>
      <c r="E212" t="s">
        <v>47</v>
      </c>
      <c r="F212" t="s">
        <v>100</v>
      </c>
      <c r="G212" t="s">
        <v>101</v>
      </c>
      <c r="H212">
        <v>3</v>
      </c>
      <c r="I212" s="3">
        <v>399</v>
      </c>
      <c r="J212" s="4">
        <v>30</v>
      </c>
      <c r="K212" s="3">
        <v>279</v>
      </c>
      <c r="L212" s="3">
        <v>837</v>
      </c>
      <c r="M212" t="s">
        <v>69</v>
      </c>
      <c r="N212" t="s">
        <v>37</v>
      </c>
      <c r="O212" s="3">
        <v>55</v>
      </c>
      <c r="P212" t="s">
        <v>70</v>
      </c>
      <c r="Q212" s="3">
        <v>65.08</v>
      </c>
      <c r="R212" s="3">
        <v>374.05</v>
      </c>
      <c r="S212" s="3">
        <v>342.87</v>
      </c>
      <c r="T212" s="3">
        <v>279</v>
      </c>
      <c r="U212" s="3">
        <v>17</v>
      </c>
      <c r="V212" t="s">
        <v>31</v>
      </c>
    </row>
    <row r="213" spans="1:22" x14ac:dyDescent="0.3">
      <c r="A213" t="s">
        <v>297</v>
      </c>
      <c r="B213" s="1">
        <v>46126</v>
      </c>
      <c r="C213" t="s">
        <v>23</v>
      </c>
      <c r="D213" t="s">
        <v>74</v>
      </c>
      <c r="E213" t="s">
        <v>75</v>
      </c>
      <c r="F213" t="s">
        <v>100</v>
      </c>
      <c r="G213" t="s">
        <v>101</v>
      </c>
      <c r="H213">
        <v>1</v>
      </c>
      <c r="I213" s="3">
        <v>549</v>
      </c>
      <c r="J213" s="4">
        <v>20</v>
      </c>
      <c r="K213" s="3">
        <v>439</v>
      </c>
      <c r="L213" s="3">
        <v>439</v>
      </c>
      <c r="M213" t="s">
        <v>69</v>
      </c>
      <c r="N213" t="s">
        <v>37</v>
      </c>
      <c r="O213" s="3">
        <v>65</v>
      </c>
      <c r="P213" t="s">
        <v>70</v>
      </c>
      <c r="Q213" s="3">
        <v>32.76</v>
      </c>
      <c r="R213" s="3">
        <v>205.27</v>
      </c>
      <c r="S213" s="3">
        <v>135.97</v>
      </c>
      <c r="T213" s="3">
        <v>439</v>
      </c>
      <c r="U213" s="3">
        <v>16</v>
      </c>
      <c r="V213" t="s">
        <v>31</v>
      </c>
    </row>
    <row r="214" spans="1:22" x14ac:dyDescent="0.3">
      <c r="A214" t="s">
        <v>298</v>
      </c>
      <c r="B214" s="1">
        <v>46276</v>
      </c>
      <c r="C214" t="s">
        <v>86</v>
      </c>
      <c r="D214" t="s">
        <v>74</v>
      </c>
      <c r="E214" t="s">
        <v>75</v>
      </c>
      <c r="F214" t="s">
        <v>48</v>
      </c>
      <c r="G214" t="s">
        <v>49</v>
      </c>
      <c r="H214">
        <v>1</v>
      </c>
      <c r="I214" s="3">
        <v>549</v>
      </c>
      <c r="J214" s="4">
        <v>30</v>
      </c>
      <c r="K214" s="3">
        <v>384</v>
      </c>
      <c r="L214" s="3">
        <v>384</v>
      </c>
      <c r="M214" t="s">
        <v>28</v>
      </c>
      <c r="N214" t="s">
        <v>37</v>
      </c>
      <c r="O214" s="3">
        <v>35</v>
      </c>
      <c r="P214" t="s">
        <v>30</v>
      </c>
      <c r="Q214" s="3">
        <v>21.75</v>
      </c>
      <c r="R214" s="3">
        <v>188.91</v>
      </c>
      <c r="S214" s="3">
        <v>138.34</v>
      </c>
      <c r="T214" s="3">
        <v>384</v>
      </c>
      <c r="U214" s="3">
        <v>37</v>
      </c>
      <c r="V214" t="s">
        <v>87</v>
      </c>
    </row>
    <row r="215" spans="1:22" x14ac:dyDescent="0.3">
      <c r="A215" t="s">
        <v>299</v>
      </c>
      <c r="B215" s="1">
        <v>46249</v>
      </c>
      <c r="C215" t="s">
        <v>67</v>
      </c>
      <c r="D215" t="s">
        <v>112</v>
      </c>
      <c r="E215" t="s">
        <v>47</v>
      </c>
      <c r="F215" t="s">
        <v>109</v>
      </c>
      <c r="G215" t="s">
        <v>110</v>
      </c>
      <c r="H215">
        <v>2</v>
      </c>
      <c r="I215" s="3">
        <v>299</v>
      </c>
      <c r="J215" s="4">
        <v>15</v>
      </c>
      <c r="K215" s="3">
        <v>254</v>
      </c>
      <c r="L215" s="3">
        <v>508</v>
      </c>
      <c r="M215" t="s">
        <v>76</v>
      </c>
      <c r="N215" t="s">
        <v>29</v>
      </c>
      <c r="O215" s="3">
        <v>35</v>
      </c>
      <c r="P215" t="s">
        <v>30</v>
      </c>
      <c r="Q215" s="3">
        <v>21.05</v>
      </c>
      <c r="R215" s="3">
        <v>233.41</v>
      </c>
      <c r="S215" s="3">
        <v>218.54</v>
      </c>
      <c r="T215" s="3">
        <v>254</v>
      </c>
      <c r="U215" s="3">
        <v>33</v>
      </c>
      <c r="V215" t="s">
        <v>71</v>
      </c>
    </row>
    <row r="216" spans="1:22" x14ac:dyDescent="0.3">
      <c r="A216" t="s">
        <v>300</v>
      </c>
      <c r="B216" s="1">
        <v>46134</v>
      </c>
      <c r="C216" t="s">
        <v>23</v>
      </c>
      <c r="D216" t="s">
        <v>130</v>
      </c>
      <c r="E216" t="s">
        <v>54</v>
      </c>
      <c r="F216" t="s">
        <v>26</v>
      </c>
      <c r="G216" t="s">
        <v>27</v>
      </c>
      <c r="H216">
        <v>1</v>
      </c>
      <c r="I216" s="3">
        <v>699</v>
      </c>
      <c r="J216" s="4">
        <v>40</v>
      </c>
      <c r="K216" s="3">
        <v>419</v>
      </c>
      <c r="L216" s="3">
        <v>419</v>
      </c>
      <c r="M216" t="s">
        <v>28</v>
      </c>
      <c r="N216" t="s">
        <v>29</v>
      </c>
      <c r="O216" s="3">
        <v>65</v>
      </c>
      <c r="P216" t="s">
        <v>30</v>
      </c>
      <c r="Q216" s="3">
        <v>28.71</v>
      </c>
      <c r="R216" s="3">
        <v>184.33</v>
      </c>
      <c r="S216" s="3">
        <v>140.96</v>
      </c>
      <c r="T216" s="3">
        <v>419</v>
      </c>
      <c r="U216" s="3">
        <v>17</v>
      </c>
      <c r="V216" t="s">
        <v>31</v>
      </c>
    </row>
    <row r="217" spans="1:22" x14ac:dyDescent="0.3">
      <c r="A217" t="s">
        <v>301</v>
      </c>
      <c r="B217" s="1">
        <v>46121</v>
      </c>
      <c r="C217" t="s">
        <v>23</v>
      </c>
      <c r="D217" t="s">
        <v>59</v>
      </c>
      <c r="E217" t="s">
        <v>60</v>
      </c>
      <c r="F217" t="s">
        <v>84</v>
      </c>
      <c r="G217" t="s">
        <v>84</v>
      </c>
      <c r="H217">
        <v>1</v>
      </c>
      <c r="I217" s="3">
        <v>299</v>
      </c>
      <c r="J217" s="4">
        <v>30</v>
      </c>
      <c r="K217" s="3">
        <v>209</v>
      </c>
      <c r="L217" s="3">
        <v>209</v>
      </c>
      <c r="M217" t="s">
        <v>76</v>
      </c>
      <c r="N217" t="s">
        <v>37</v>
      </c>
      <c r="O217" s="3">
        <v>35</v>
      </c>
      <c r="P217" t="s">
        <v>30</v>
      </c>
      <c r="Q217" s="3">
        <v>10.6</v>
      </c>
      <c r="R217" s="3">
        <v>105.24</v>
      </c>
      <c r="S217" s="3">
        <v>58.16</v>
      </c>
      <c r="T217" s="3">
        <v>209</v>
      </c>
      <c r="U217" s="3">
        <v>15</v>
      </c>
      <c r="V217" t="s">
        <v>31</v>
      </c>
    </row>
    <row r="218" spans="1:22" x14ac:dyDescent="0.3">
      <c r="A218" t="s">
        <v>302</v>
      </c>
      <c r="B218" s="1">
        <v>46175</v>
      </c>
      <c r="C218" t="s">
        <v>78</v>
      </c>
      <c r="D218" t="s">
        <v>63</v>
      </c>
      <c r="E218" t="s">
        <v>47</v>
      </c>
      <c r="F218" t="s">
        <v>109</v>
      </c>
      <c r="G218" t="s">
        <v>110</v>
      </c>
      <c r="H218">
        <v>1</v>
      </c>
      <c r="I218" s="3">
        <v>399</v>
      </c>
      <c r="J218" s="4">
        <v>5</v>
      </c>
      <c r="K218" s="3">
        <v>379</v>
      </c>
      <c r="L218" s="3">
        <v>379</v>
      </c>
      <c r="M218" t="s">
        <v>28</v>
      </c>
      <c r="N218" t="s">
        <v>37</v>
      </c>
      <c r="O218" s="3">
        <v>45</v>
      </c>
      <c r="P218" t="s">
        <v>30</v>
      </c>
      <c r="Q218" s="3">
        <v>15.64</v>
      </c>
      <c r="R218" s="3">
        <v>187.08</v>
      </c>
      <c r="S218" s="3">
        <v>131.28</v>
      </c>
      <c r="T218" s="3">
        <v>379</v>
      </c>
      <c r="U218" s="3">
        <v>23</v>
      </c>
      <c r="V218" t="s">
        <v>81</v>
      </c>
    </row>
    <row r="219" spans="1:22" x14ac:dyDescent="0.3">
      <c r="A219" t="s">
        <v>303</v>
      </c>
      <c r="B219" s="1">
        <v>46216</v>
      </c>
      <c r="C219" t="s">
        <v>45</v>
      </c>
      <c r="D219" t="s">
        <v>59</v>
      </c>
      <c r="E219" t="s">
        <v>60</v>
      </c>
      <c r="F219" t="s">
        <v>109</v>
      </c>
      <c r="G219" t="s">
        <v>110</v>
      </c>
      <c r="H219">
        <v>1</v>
      </c>
      <c r="I219" s="3">
        <v>299</v>
      </c>
      <c r="J219" s="4">
        <v>25</v>
      </c>
      <c r="K219" s="3">
        <v>224</v>
      </c>
      <c r="L219" s="3">
        <v>224</v>
      </c>
      <c r="M219" t="s">
        <v>102</v>
      </c>
      <c r="N219" t="s">
        <v>37</v>
      </c>
      <c r="O219" s="3">
        <v>45</v>
      </c>
      <c r="P219" t="s">
        <v>30</v>
      </c>
      <c r="Q219" s="3">
        <v>13.61</v>
      </c>
      <c r="R219" s="3">
        <v>109.26</v>
      </c>
      <c r="S219" s="3">
        <v>56.13</v>
      </c>
      <c r="T219" s="3">
        <v>224</v>
      </c>
      <c r="U219" s="3">
        <v>29</v>
      </c>
      <c r="V219" t="s">
        <v>50</v>
      </c>
    </row>
    <row r="220" spans="1:22" x14ac:dyDescent="0.3">
      <c r="A220" t="s">
        <v>304</v>
      </c>
      <c r="B220" s="1">
        <v>46185</v>
      </c>
      <c r="C220" t="s">
        <v>78</v>
      </c>
      <c r="D220" t="s">
        <v>59</v>
      </c>
      <c r="E220" t="s">
        <v>60</v>
      </c>
      <c r="F220" t="s">
        <v>42</v>
      </c>
      <c r="G220" t="s">
        <v>27</v>
      </c>
      <c r="H220">
        <v>1</v>
      </c>
      <c r="I220" s="3">
        <v>299</v>
      </c>
      <c r="J220" s="4">
        <v>40</v>
      </c>
      <c r="K220" s="3">
        <v>179</v>
      </c>
      <c r="L220" s="3">
        <v>179</v>
      </c>
      <c r="M220" t="s">
        <v>28</v>
      </c>
      <c r="N220" t="s">
        <v>37</v>
      </c>
      <c r="O220" s="3">
        <v>35</v>
      </c>
      <c r="P220" t="s">
        <v>30</v>
      </c>
      <c r="Q220" s="3">
        <v>7.71</v>
      </c>
      <c r="R220" s="3">
        <v>82.03</v>
      </c>
      <c r="S220" s="3">
        <v>54.26</v>
      </c>
      <c r="T220" s="3">
        <v>179</v>
      </c>
      <c r="U220" s="3">
        <v>24</v>
      </c>
      <c r="V220" t="s">
        <v>81</v>
      </c>
    </row>
    <row r="221" spans="1:22" x14ac:dyDescent="0.3">
      <c r="A221" t="s">
        <v>305</v>
      </c>
      <c r="B221" s="1">
        <v>46230</v>
      </c>
      <c r="C221" t="s">
        <v>45</v>
      </c>
      <c r="D221" t="s">
        <v>63</v>
      </c>
      <c r="E221" t="s">
        <v>47</v>
      </c>
      <c r="F221" t="s">
        <v>109</v>
      </c>
      <c r="G221" t="s">
        <v>110</v>
      </c>
      <c r="H221">
        <v>1</v>
      </c>
      <c r="I221" s="3">
        <v>399</v>
      </c>
      <c r="J221" s="4">
        <v>15</v>
      </c>
      <c r="K221" s="3">
        <v>339</v>
      </c>
      <c r="L221" s="3">
        <v>339</v>
      </c>
      <c r="M221" t="s">
        <v>28</v>
      </c>
      <c r="N221" t="s">
        <v>37</v>
      </c>
      <c r="O221" s="3">
        <v>55</v>
      </c>
      <c r="P221" t="s">
        <v>30</v>
      </c>
      <c r="Q221" s="3">
        <v>20.58</v>
      </c>
      <c r="R221" s="3">
        <v>154.18</v>
      </c>
      <c r="S221" s="3">
        <v>109.24</v>
      </c>
      <c r="T221" s="3">
        <v>339</v>
      </c>
      <c r="U221" s="3">
        <v>31</v>
      </c>
      <c r="V221" t="s">
        <v>50</v>
      </c>
    </row>
    <row r="222" spans="1:22" x14ac:dyDescent="0.3">
      <c r="A222" t="s">
        <v>306</v>
      </c>
      <c r="B222" s="1">
        <v>46191</v>
      </c>
      <c r="C222" t="s">
        <v>78</v>
      </c>
      <c r="D222" t="s">
        <v>33</v>
      </c>
      <c r="E222" t="s">
        <v>34</v>
      </c>
      <c r="F222" t="s">
        <v>100</v>
      </c>
      <c r="G222" t="s">
        <v>101</v>
      </c>
      <c r="H222">
        <v>1</v>
      </c>
      <c r="I222" s="3">
        <v>599</v>
      </c>
      <c r="J222" s="4">
        <v>40</v>
      </c>
      <c r="K222" s="3">
        <v>359</v>
      </c>
      <c r="L222" s="3">
        <v>359</v>
      </c>
      <c r="M222" t="s">
        <v>64</v>
      </c>
      <c r="N222" t="s">
        <v>29</v>
      </c>
      <c r="O222" s="3">
        <v>35</v>
      </c>
      <c r="P222" t="s">
        <v>30</v>
      </c>
      <c r="Q222" s="3">
        <v>22.21</v>
      </c>
      <c r="R222" s="3">
        <v>180.57</v>
      </c>
      <c r="S222" s="3">
        <v>121.22</v>
      </c>
      <c r="T222" s="3">
        <v>359</v>
      </c>
      <c r="U222" s="3">
        <v>25</v>
      </c>
      <c r="V222" t="s">
        <v>81</v>
      </c>
    </row>
    <row r="223" spans="1:22" x14ac:dyDescent="0.3">
      <c r="A223" t="s">
        <v>307</v>
      </c>
      <c r="B223" s="1">
        <v>46183</v>
      </c>
      <c r="C223" t="s">
        <v>78</v>
      </c>
      <c r="D223" t="s">
        <v>40</v>
      </c>
      <c r="E223" t="s">
        <v>41</v>
      </c>
      <c r="F223" t="s">
        <v>79</v>
      </c>
      <c r="G223" t="s">
        <v>80</v>
      </c>
      <c r="H223">
        <v>1</v>
      </c>
      <c r="I223" s="3">
        <v>449</v>
      </c>
      <c r="J223" s="4">
        <v>10</v>
      </c>
      <c r="K223" s="3">
        <v>404</v>
      </c>
      <c r="L223" s="3">
        <v>404</v>
      </c>
      <c r="M223" t="s">
        <v>102</v>
      </c>
      <c r="N223" t="s">
        <v>37</v>
      </c>
      <c r="O223" s="3">
        <v>35</v>
      </c>
      <c r="P223" t="s">
        <v>30</v>
      </c>
      <c r="Q223" s="3">
        <v>19.850000000000001</v>
      </c>
      <c r="R223" s="3">
        <v>179.64</v>
      </c>
      <c r="S223" s="3">
        <v>169.51</v>
      </c>
      <c r="T223" s="3">
        <v>404</v>
      </c>
      <c r="U223" s="3">
        <v>24</v>
      </c>
      <c r="V223" t="s">
        <v>81</v>
      </c>
    </row>
    <row r="224" spans="1:22" x14ac:dyDescent="0.3">
      <c r="A224" t="s">
        <v>308</v>
      </c>
      <c r="B224" s="1">
        <v>46090</v>
      </c>
      <c r="C224" t="s">
        <v>39</v>
      </c>
      <c r="D224" t="s">
        <v>59</v>
      </c>
      <c r="E224" t="s">
        <v>60</v>
      </c>
      <c r="F224" t="s">
        <v>55</v>
      </c>
      <c r="G224" t="s">
        <v>56</v>
      </c>
      <c r="H224">
        <v>1</v>
      </c>
      <c r="I224" s="3">
        <v>299</v>
      </c>
      <c r="J224" s="4">
        <v>25</v>
      </c>
      <c r="K224" s="3">
        <v>224</v>
      </c>
      <c r="L224" s="3">
        <v>224</v>
      </c>
      <c r="M224" t="s">
        <v>69</v>
      </c>
      <c r="N224" t="s">
        <v>37</v>
      </c>
      <c r="O224" s="3">
        <v>55</v>
      </c>
      <c r="P224" t="s">
        <v>70</v>
      </c>
      <c r="Q224" s="3">
        <v>16</v>
      </c>
      <c r="R224" s="3">
        <v>116.29</v>
      </c>
      <c r="S224" s="3">
        <v>36.71</v>
      </c>
      <c r="T224" s="3">
        <v>224</v>
      </c>
      <c r="U224" s="3">
        <v>11</v>
      </c>
      <c r="V224" t="s">
        <v>43</v>
      </c>
    </row>
    <row r="225" spans="1:22" x14ac:dyDescent="0.3">
      <c r="A225" t="s">
        <v>309</v>
      </c>
      <c r="B225" s="1">
        <v>46157</v>
      </c>
      <c r="C225" t="s">
        <v>62</v>
      </c>
      <c r="D225" t="s">
        <v>59</v>
      </c>
      <c r="E225" t="s">
        <v>60</v>
      </c>
      <c r="F225" t="s">
        <v>109</v>
      </c>
      <c r="G225" t="s">
        <v>110</v>
      </c>
      <c r="H225">
        <v>1</v>
      </c>
      <c r="I225" s="3">
        <v>299</v>
      </c>
      <c r="J225" s="4">
        <v>15</v>
      </c>
      <c r="K225" s="3">
        <v>254</v>
      </c>
      <c r="L225" s="3">
        <v>254</v>
      </c>
      <c r="M225" t="s">
        <v>28</v>
      </c>
      <c r="N225" t="s">
        <v>37</v>
      </c>
      <c r="O225" s="3">
        <v>45</v>
      </c>
      <c r="P225" t="s">
        <v>30</v>
      </c>
      <c r="Q225" s="3">
        <v>19.260000000000002</v>
      </c>
      <c r="R225" s="3">
        <v>128.19999999999999</v>
      </c>
      <c r="S225" s="3">
        <v>61.54</v>
      </c>
      <c r="T225" s="3">
        <v>254</v>
      </c>
      <c r="U225" s="3">
        <v>20</v>
      </c>
      <c r="V225" t="s">
        <v>65</v>
      </c>
    </row>
    <row r="226" spans="1:22" x14ac:dyDescent="0.3">
      <c r="A226" t="s">
        <v>310</v>
      </c>
      <c r="B226" s="1">
        <v>46217</v>
      </c>
      <c r="C226" t="s">
        <v>45</v>
      </c>
      <c r="D226" t="s">
        <v>74</v>
      </c>
      <c r="E226" t="s">
        <v>75</v>
      </c>
      <c r="F226" t="s">
        <v>100</v>
      </c>
      <c r="G226" t="s">
        <v>101</v>
      </c>
      <c r="H226">
        <v>1</v>
      </c>
      <c r="I226" s="3">
        <v>549</v>
      </c>
      <c r="J226" s="4">
        <v>35</v>
      </c>
      <c r="K226" s="3">
        <v>357</v>
      </c>
      <c r="L226" s="3">
        <v>357</v>
      </c>
      <c r="M226" t="s">
        <v>28</v>
      </c>
      <c r="N226" t="s">
        <v>29</v>
      </c>
      <c r="O226" s="3">
        <v>55</v>
      </c>
      <c r="P226" t="s">
        <v>30</v>
      </c>
      <c r="Q226" s="3">
        <v>17.989999999999998</v>
      </c>
      <c r="R226" s="3">
        <v>162.26</v>
      </c>
      <c r="S226" s="3">
        <v>121.75</v>
      </c>
      <c r="T226" s="3">
        <v>357</v>
      </c>
      <c r="U226" s="3">
        <v>29</v>
      </c>
      <c r="V226" t="s">
        <v>50</v>
      </c>
    </row>
    <row r="227" spans="1:22" x14ac:dyDescent="0.3">
      <c r="A227" t="s">
        <v>311</v>
      </c>
      <c r="B227" s="1">
        <v>46150</v>
      </c>
      <c r="C227" t="s">
        <v>62</v>
      </c>
      <c r="D227" t="s">
        <v>40</v>
      </c>
      <c r="E227" t="s">
        <v>41</v>
      </c>
      <c r="F227" t="s">
        <v>109</v>
      </c>
      <c r="G227" t="s">
        <v>110</v>
      </c>
      <c r="H227">
        <v>1</v>
      </c>
      <c r="I227" s="3">
        <v>449</v>
      </c>
      <c r="J227" s="4">
        <v>35</v>
      </c>
      <c r="K227" s="3">
        <v>292</v>
      </c>
      <c r="L227" s="3">
        <v>292</v>
      </c>
      <c r="M227" t="s">
        <v>76</v>
      </c>
      <c r="N227" t="s">
        <v>37</v>
      </c>
      <c r="O227" s="3">
        <v>45</v>
      </c>
      <c r="P227" t="s">
        <v>30</v>
      </c>
      <c r="Q227" s="3">
        <v>19.739999999999998</v>
      </c>
      <c r="R227" s="3">
        <v>149.81</v>
      </c>
      <c r="S227" s="3">
        <v>77.45</v>
      </c>
      <c r="T227" s="3">
        <v>292</v>
      </c>
      <c r="U227" s="3">
        <v>19</v>
      </c>
      <c r="V227" t="s">
        <v>65</v>
      </c>
    </row>
    <row r="228" spans="1:22" x14ac:dyDescent="0.3">
      <c r="A228" t="s">
        <v>312</v>
      </c>
      <c r="B228" s="1">
        <v>46055</v>
      </c>
      <c r="C228" t="s">
        <v>95</v>
      </c>
      <c r="D228" t="s">
        <v>53</v>
      </c>
      <c r="E228" t="s">
        <v>54</v>
      </c>
      <c r="F228" t="s">
        <v>79</v>
      </c>
      <c r="G228" t="s">
        <v>80</v>
      </c>
      <c r="H228">
        <v>1</v>
      </c>
      <c r="I228" s="3">
        <v>499</v>
      </c>
      <c r="J228" s="4">
        <v>40</v>
      </c>
      <c r="K228" s="3">
        <v>299</v>
      </c>
      <c r="L228" s="3">
        <v>299</v>
      </c>
      <c r="M228" t="s">
        <v>28</v>
      </c>
      <c r="N228" t="s">
        <v>29</v>
      </c>
      <c r="O228" s="3">
        <v>55</v>
      </c>
      <c r="P228" t="s">
        <v>30</v>
      </c>
      <c r="Q228" s="3">
        <v>16.2</v>
      </c>
      <c r="R228" s="3">
        <v>153.96</v>
      </c>
      <c r="S228" s="3">
        <v>73.84</v>
      </c>
      <c r="T228" s="3">
        <v>299</v>
      </c>
      <c r="U228" s="3">
        <v>6</v>
      </c>
      <c r="V228" t="s">
        <v>96</v>
      </c>
    </row>
    <row r="229" spans="1:22" x14ac:dyDescent="0.3">
      <c r="A229" t="s">
        <v>313</v>
      </c>
      <c r="B229" s="1">
        <v>46198</v>
      </c>
      <c r="C229" t="s">
        <v>78</v>
      </c>
      <c r="D229" t="s">
        <v>112</v>
      </c>
      <c r="E229" t="s">
        <v>47</v>
      </c>
      <c r="F229" t="s">
        <v>109</v>
      </c>
      <c r="G229" t="s">
        <v>110</v>
      </c>
      <c r="H229">
        <v>2</v>
      </c>
      <c r="I229" s="3">
        <v>299</v>
      </c>
      <c r="J229" s="4">
        <v>30</v>
      </c>
      <c r="K229" s="3">
        <v>209</v>
      </c>
      <c r="L229" s="3">
        <v>418</v>
      </c>
      <c r="M229" t="s">
        <v>28</v>
      </c>
      <c r="N229" t="s">
        <v>37</v>
      </c>
      <c r="O229" s="3">
        <v>45</v>
      </c>
      <c r="P229" t="s">
        <v>30</v>
      </c>
      <c r="Q229" s="3">
        <v>23.96</v>
      </c>
      <c r="R229" s="3">
        <v>177.4</v>
      </c>
      <c r="S229" s="3">
        <v>171.64</v>
      </c>
      <c r="T229" s="3">
        <v>209</v>
      </c>
      <c r="U229" s="3">
        <v>26</v>
      </c>
      <c r="V229" t="s">
        <v>81</v>
      </c>
    </row>
    <row r="230" spans="1:22" x14ac:dyDescent="0.3">
      <c r="A230" t="s">
        <v>314</v>
      </c>
      <c r="B230" s="1">
        <v>46044</v>
      </c>
      <c r="C230" t="s">
        <v>52</v>
      </c>
      <c r="D230" t="s">
        <v>40</v>
      </c>
      <c r="E230" t="s">
        <v>41</v>
      </c>
      <c r="F230" t="s">
        <v>42</v>
      </c>
      <c r="G230" t="s">
        <v>27</v>
      </c>
      <c r="H230">
        <v>1</v>
      </c>
      <c r="I230" s="3">
        <v>449</v>
      </c>
      <c r="J230" s="4">
        <v>40</v>
      </c>
      <c r="K230" s="3">
        <v>269</v>
      </c>
      <c r="L230" s="3">
        <v>269</v>
      </c>
      <c r="M230" t="s">
        <v>28</v>
      </c>
      <c r="N230" t="s">
        <v>37</v>
      </c>
      <c r="O230" s="3">
        <v>55</v>
      </c>
      <c r="P230" t="s">
        <v>30</v>
      </c>
      <c r="Q230" s="3">
        <v>13.36</v>
      </c>
      <c r="R230" s="3">
        <v>138.82</v>
      </c>
      <c r="S230" s="3">
        <v>61.82</v>
      </c>
      <c r="T230" s="3">
        <v>269</v>
      </c>
      <c r="U230" s="3">
        <v>4</v>
      </c>
      <c r="V230" t="s">
        <v>57</v>
      </c>
    </row>
    <row r="231" spans="1:22" x14ac:dyDescent="0.3">
      <c r="A231" t="s">
        <v>315</v>
      </c>
      <c r="B231" s="1">
        <v>46260</v>
      </c>
      <c r="C231" t="s">
        <v>67</v>
      </c>
      <c r="D231" t="s">
        <v>74</v>
      </c>
      <c r="E231" t="s">
        <v>75</v>
      </c>
      <c r="F231" t="s">
        <v>79</v>
      </c>
      <c r="G231" t="s">
        <v>80</v>
      </c>
      <c r="H231">
        <v>1</v>
      </c>
      <c r="I231" s="3">
        <v>549</v>
      </c>
      <c r="J231" s="4">
        <v>40</v>
      </c>
      <c r="K231" s="3">
        <v>329</v>
      </c>
      <c r="L231" s="3">
        <v>329</v>
      </c>
      <c r="M231" t="s">
        <v>28</v>
      </c>
      <c r="N231" t="s">
        <v>37</v>
      </c>
      <c r="O231" s="3">
        <v>55</v>
      </c>
      <c r="P231" t="s">
        <v>30</v>
      </c>
      <c r="Q231" s="3">
        <v>19.2</v>
      </c>
      <c r="R231" s="3">
        <v>168.43</v>
      </c>
      <c r="S231" s="3">
        <v>86.37</v>
      </c>
      <c r="T231" s="3">
        <v>329</v>
      </c>
      <c r="U231" s="3">
        <v>35</v>
      </c>
      <c r="V231" t="s">
        <v>71</v>
      </c>
    </row>
    <row r="232" spans="1:22" x14ac:dyDescent="0.3">
      <c r="A232" t="s">
        <v>316</v>
      </c>
      <c r="B232" s="1">
        <v>46180</v>
      </c>
      <c r="C232" t="s">
        <v>78</v>
      </c>
      <c r="D232" t="s">
        <v>112</v>
      </c>
      <c r="E232" t="s">
        <v>47</v>
      </c>
      <c r="F232" t="s">
        <v>109</v>
      </c>
      <c r="G232" t="s">
        <v>110</v>
      </c>
      <c r="H232">
        <v>1</v>
      </c>
      <c r="I232" s="3">
        <v>299</v>
      </c>
      <c r="J232" s="4">
        <v>5</v>
      </c>
      <c r="K232" s="3">
        <v>284</v>
      </c>
      <c r="L232" s="3">
        <v>284</v>
      </c>
      <c r="M232" t="s">
        <v>64</v>
      </c>
      <c r="N232" t="s">
        <v>29</v>
      </c>
      <c r="O232" s="3">
        <v>35</v>
      </c>
      <c r="P232" t="s">
        <v>30</v>
      </c>
      <c r="Q232" s="3">
        <v>21.67</v>
      </c>
      <c r="R232" s="3">
        <v>146.08000000000001</v>
      </c>
      <c r="S232" s="3">
        <v>81.25</v>
      </c>
      <c r="T232" s="3">
        <v>284</v>
      </c>
      <c r="U232" s="3">
        <v>23</v>
      </c>
      <c r="V232" t="s">
        <v>81</v>
      </c>
    </row>
    <row r="233" spans="1:22" x14ac:dyDescent="0.3">
      <c r="A233" t="s">
        <v>317</v>
      </c>
      <c r="B233" s="1">
        <v>46060</v>
      </c>
      <c r="C233" t="s">
        <v>95</v>
      </c>
      <c r="D233" t="s">
        <v>63</v>
      </c>
      <c r="E233" t="s">
        <v>47</v>
      </c>
      <c r="F233" t="s">
        <v>26</v>
      </c>
      <c r="G233" t="s">
        <v>27</v>
      </c>
      <c r="H233">
        <v>3</v>
      </c>
      <c r="I233" s="3">
        <v>399</v>
      </c>
      <c r="J233" s="4">
        <v>20</v>
      </c>
      <c r="K233" s="3">
        <v>319</v>
      </c>
      <c r="L233" s="3">
        <v>957</v>
      </c>
      <c r="M233" t="s">
        <v>64</v>
      </c>
      <c r="N233" t="s">
        <v>29</v>
      </c>
      <c r="O233" s="3">
        <v>45</v>
      </c>
      <c r="P233" t="s">
        <v>30</v>
      </c>
      <c r="Q233" s="3">
        <v>65.78</v>
      </c>
      <c r="R233" s="3">
        <v>425.61</v>
      </c>
      <c r="S233" s="3">
        <v>420.61</v>
      </c>
      <c r="T233" s="3">
        <v>319</v>
      </c>
      <c r="U233" s="3">
        <v>6</v>
      </c>
      <c r="V233" t="s">
        <v>96</v>
      </c>
    </row>
    <row r="234" spans="1:22" x14ac:dyDescent="0.3">
      <c r="A234" t="s">
        <v>318</v>
      </c>
      <c r="B234" s="1">
        <v>46252</v>
      </c>
      <c r="C234" t="s">
        <v>67</v>
      </c>
      <c r="D234" t="s">
        <v>115</v>
      </c>
      <c r="E234" t="s">
        <v>116</v>
      </c>
      <c r="F234" t="s">
        <v>42</v>
      </c>
      <c r="G234" t="s">
        <v>27</v>
      </c>
      <c r="H234">
        <v>1</v>
      </c>
      <c r="I234" s="3">
        <v>249</v>
      </c>
      <c r="J234" s="4">
        <v>25</v>
      </c>
      <c r="K234" s="3">
        <v>187</v>
      </c>
      <c r="L234" s="3">
        <v>187</v>
      </c>
      <c r="M234" t="s">
        <v>76</v>
      </c>
      <c r="N234" t="s">
        <v>29</v>
      </c>
      <c r="O234" s="3">
        <v>45</v>
      </c>
      <c r="P234" t="s">
        <v>30</v>
      </c>
      <c r="Q234" s="3">
        <v>11.99</v>
      </c>
      <c r="R234" s="3">
        <v>94.16</v>
      </c>
      <c r="S234" s="3">
        <v>35.85</v>
      </c>
      <c r="T234" s="3">
        <v>187</v>
      </c>
      <c r="U234" s="3">
        <v>34</v>
      </c>
      <c r="V234" t="s">
        <v>71</v>
      </c>
    </row>
    <row r="235" spans="1:22" x14ac:dyDescent="0.3">
      <c r="A235" t="s">
        <v>319</v>
      </c>
      <c r="B235" s="1">
        <v>46073</v>
      </c>
      <c r="C235" t="s">
        <v>95</v>
      </c>
      <c r="D235" t="s">
        <v>59</v>
      </c>
      <c r="E235" t="s">
        <v>60</v>
      </c>
      <c r="F235" t="s">
        <v>68</v>
      </c>
      <c r="G235" t="s">
        <v>27</v>
      </c>
      <c r="H235">
        <v>2</v>
      </c>
      <c r="I235" s="3">
        <v>299</v>
      </c>
      <c r="J235" s="4">
        <v>5</v>
      </c>
      <c r="K235" s="3">
        <v>284</v>
      </c>
      <c r="L235" s="3">
        <v>568</v>
      </c>
      <c r="M235" t="s">
        <v>64</v>
      </c>
      <c r="N235" t="s">
        <v>37</v>
      </c>
      <c r="O235" s="3">
        <v>65</v>
      </c>
      <c r="P235" t="s">
        <v>30</v>
      </c>
      <c r="Q235" s="3">
        <v>41.99</v>
      </c>
      <c r="R235" s="3">
        <v>279.95999999999998</v>
      </c>
      <c r="S235" s="3">
        <v>181.05</v>
      </c>
      <c r="T235" s="3">
        <v>284</v>
      </c>
      <c r="U235" s="3">
        <v>8</v>
      </c>
      <c r="V235" t="s">
        <v>96</v>
      </c>
    </row>
    <row r="236" spans="1:22" x14ac:dyDescent="0.3">
      <c r="A236" t="s">
        <v>320</v>
      </c>
      <c r="B236" s="1">
        <v>46286</v>
      </c>
      <c r="C236" t="s">
        <v>86</v>
      </c>
      <c r="D236" t="s">
        <v>63</v>
      </c>
      <c r="E236" t="s">
        <v>47</v>
      </c>
      <c r="F236" t="s">
        <v>48</v>
      </c>
      <c r="G236" t="s">
        <v>49</v>
      </c>
      <c r="H236">
        <v>1</v>
      </c>
      <c r="I236" s="3">
        <v>399</v>
      </c>
      <c r="J236" s="4">
        <v>35</v>
      </c>
      <c r="K236" s="3">
        <v>259</v>
      </c>
      <c r="L236" s="3">
        <v>259</v>
      </c>
      <c r="M236" t="s">
        <v>28</v>
      </c>
      <c r="N236" t="s">
        <v>29</v>
      </c>
      <c r="O236" s="3">
        <v>65</v>
      </c>
      <c r="P236" t="s">
        <v>30</v>
      </c>
      <c r="Q236" s="3">
        <v>13.35</v>
      </c>
      <c r="R236" s="3">
        <v>119.08</v>
      </c>
      <c r="S236" s="3">
        <v>61.57</v>
      </c>
      <c r="T236" s="3">
        <v>259</v>
      </c>
      <c r="U236" s="3">
        <v>39</v>
      </c>
      <c r="V236" t="s">
        <v>87</v>
      </c>
    </row>
    <row r="237" spans="1:22" x14ac:dyDescent="0.3">
      <c r="A237" t="s">
        <v>321</v>
      </c>
      <c r="B237" s="1">
        <v>46049</v>
      </c>
      <c r="C237" t="s">
        <v>52</v>
      </c>
      <c r="D237" t="s">
        <v>74</v>
      </c>
      <c r="E237" t="s">
        <v>75</v>
      </c>
      <c r="F237" t="s">
        <v>42</v>
      </c>
      <c r="G237" t="s">
        <v>27</v>
      </c>
      <c r="H237">
        <v>1</v>
      </c>
      <c r="I237" s="3">
        <v>549</v>
      </c>
      <c r="J237" s="4">
        <v>30</v>
      </c>
      <c r="K237" s="3">
        <v>384</v>
      </c>
      <c r="L237" s="3">
        <v>384</v>
      </c>
      <c r="M237" t="s">
        <v>28</v>
      </c>
      <c r="N237" t="s">
        <v>37</v>
      </c>
      <c r="O237" s="3">
        <v>65</v>
      </c>
      <c r="P237" t="s">
        <v>30</v>
      </c>
      <c r="Q237" s="3">
        <v>16.75</v>
      </c>
      <c r="R237" s="3">
        <v>162.53</v>
      </c>
      <c r="S237" s="3">
        <v>139.72</v>
      </c>
      <c r="T237" s="3">
        <v>384</v>
      </c>
      <c r="U237" s="3">
        <v>5</v>
      </c>
      <c r="V237" t="s">
        <v>57</v>
      </c>
    </row>
    <row r="238" spans="1:22" x14ac:dyDescent="0.3">
      <c r="A238" t="s">
        <v>322</v>
      </c>
      <c r="B238" s="1">
        <v>46248</v>
      </c>
      <c r="C238" t="s">
        <v>67</v>
      </c>
      <c r="D238" t="s">
        <v>115</v>
      </c>
      <c r="E238" t="s">
        <v>116</v>
      </c>
      <c r="F238" t="s">
        <v>68</v>
      </c>
      <c r="G238" t="s">
        <v>27</v>
      </c>
      <c r="H238">
        <v>1</v>
      </c>
      <c r="I238" s="3">
        <v>249</v>
      </c>
      <c r="J238" s="4">
        <v>30</v>
      </c>
      <c r="K238" s="3">
        <v>174</v>
      </c>
      <c r="L238" s="3">
        <v>174</v>
      </c>
      <c r="M238" t="s">
        <v>28</v>
      </c>
      <c r="N238" t="s">
        <v>29</v>
      </c>
      <c r="O238" s="3">
        <v>65</v>
      </c>
      <c r="P238" t="s">
        <v>30</v>
      </c>
      <c r="Q238" s="3">
        <v>10.95</v>
      </c>
      <c r="R238" s="3">
        <v>80.31</v>
      </c>
      <c r="S238" s="3">
        <v>17.739999999999998</v>
      </c>
      <c r="T238" s="3">
        <v>174</v>
      </c>
      <c r="U238" s="3">
        <v>33</v>
      </c>
      <c r="V238" t="s">
        <v>71</v>
      </c>
    </row>
    <row r="239" spans="1:22" x14ac:dyDescent="0.3">
      <c r="A239" t="s">
        <v>323</v>
      </c>
      <c r="B239" s="1">
        <v>46119</v>
      </c>
      <c r="C239" t="s">
        <v>23</v>
      </c>
      <c r="D239" t="s">
        <v>93</v>
      </c>
      <c r="E239" t="s">
        <v>47</v>
      </c>
      <c r="F239" t="s">
        <v>68</v>
      </c>
      <c r="G239" t="s">
        <v>27</v>
      </c>
      <c r="H239">
        <v>2</v>
      </c>
      <c r="I239" s="3">
        <v>699</v>
      </c>
      <c r="J239" s="4">
        <v>40</v>
      </c>
      <c r="K239" s="3">
        <v>419</v>
      </c>
      <c r="L239" s="3">
        <v>838</v>
      </c>
      <c r="M239" t="s">
        <v>28</v>
      </c>
      <c r="N239" t="s">
        <v>37</v>
      </c>
      <c r="O239" s="3">
        <v>55</v>
      </c>
      <c r="P239" t="s">
        <v>30</v>
      </c>
      <c r="Q239" s="3">
        <v>40.92</v>
      </c>
      <c r="R239" s="3">
        <v>355.22</v>
      </c>
      <c r="S239" s="3">
        <v>386.86</v>
      </c>
      <c r="T239" s="3">
        <v>419</v>
      </c>
      <c r="U239" s="3">
        <v>15</v>
      </c>
      <c r="V239" t="s">
        <v>31</v>
      </c>
    </row>
    <row r="240" spans="1:22" x14ac:dyDescent="0.3">
      <c r="A240" t="s">
        <v>324</v>
      </c>
      <c r="B240" s="1">
        <v>46169</v>
      </c>
      <c r="C240" t="s">
        <v>62</v>
      </c>
      <c r="D240" t="s">
        <v>93</v>
      </c>
      <c r="E240" t="s">
        <v>47</v>
      </c>
      <c r="F240" t="s">
        <v>109</v>
      </c>
      <c r="G240" t="s">
        <v>110</v>
      </c>
      <c r="H240">
        <v>2</v>
      </c>
      <c r="I240" s="3">
        <v>699</v>
      </c>
      <c r="J240" s="4">
        <v>15</v>
      </c>
      <c r="K240" s="3">
        <v>594</v>
      </c>
      <c r="L240" s="3">
        <v>1188</v>
      </c>
      <c r="M240" t="s">
        <v>69</v>
      </c>
      <c r="N240" t="s">
        <v>37</v>
      </c>
      <c r="O240" s="3">
        <v>35</v>
      </c>
      <c r="P240" t="s">
        <v>70</v>
      </c>
      <c r="Q240" s="3">
        <v>81.69</v>
      </c>
      <c r="R240" s="3">
        <v>565.88</v>
      </c>
      <c r="S240" s="3">
        <v>505.43</v>
      </c>
      <c r="T240" s="3">
        <v>594</v>
      </c>
      <c r="U240" s="3">
        <v>22</v>
      </c>
      <c r="V240" t="s">
        <v>65</v>
      </c>
    </row>
    <row r="241" spans="1:22" x14ac:dyDescent="0.3">
      <c r="A241" t="s">
        <v>325</v>
      </c>
      <c r="B241" s="1">
        <v>46026</v>
      </c>
      <c r="C241" t="s">
        <v>52</v>
      </c>
      <c r="D241" t="s">
        <v>59</v>
      </c>
      <c r="E241" t="s">
        <v>60</v>
      </c>
      <c r="F241" t="s">
        <v>68</v>
      </c>
      <c r="G241" t="s">
        <v>27</v>
      </c>
      <c r="H241">
        <v>2</v>
      </c>
      <c r="I241" s="3">
        <v>299</v>
      </c>
      <c r="J241" s="4">
        <v>10</v>
      </c>
      <c r="K241" s="3">
        <v>269</v>
      </c>
      <c r="L241" s="3">
        <v>538</v>
      </c>
      <c r="M241" t="s">
        <v>28</v>
      </c>
      <c r="N241" t="s">
        <v>37</v>
      </c>
      <c r="O241" s="3">
        <v>55</v>
      </c>
      <c r="P241" t="s">
        <v>30</v>
      </c>
      <c r="Q241" s="3">
        <v>41.89</v>
      </c>
      <c r="R241" s="3">
        <v>273.98</v>
      </c>
      <c r="S241" s="3">
        <v>167.13</v>
      </c>
      <c r="T241" s="3">
        <v>269</v>
      </c>
      <c r="U241" s="3">
        <v>1</v>
      </c>
      <c r="V241" t="s">
        <v>57</v>
      </c>
    </row>
    <row r="242" spans="1:22" x14ac:dyDescent="0.3">
      <c r="A242" t="s">
        <v>326</v>
      </c>
      <c r="B242" s="1">
        <v>46057</v>
      </c>
      <c r="C242" t="s">
        <v>95</v>
      </c>
      <c r="D242" t="s">
        <v>130</v>
      </c>
      <c r="E242" t="s">
        <v>54</v>
      </c>
      <c r="F242" t="s">
        <v>55</v>
      </c>
      <c r="G242" t="s">
        <v>56</v>
      </c>
      <c r="H242">
        <v>1</v>
      </c>
      <c r="I242" s="3">
        <v>699</v>
      </c>
      <c r="J242" s="4">
        <v>20</v>
      </c>
      <c r="K242" s="3">
        <v>559</v>
      </c>
      <c r="L242" s="3">
        <v>559</v>
      </c>
      <c r="M242" t="s">
        <v>28</v>
      </c>
      <c r="N242" t="s">
        <v>29</v>
      </c>
      <c r="O242" s="3">
        <v>35</v>
      </c>
      <c r="P242" t="s">
        <v>30</v>
      </c>
      <c r="Q242" s="3">
        <v>28.07</v>
      </c>
      <c r="R242" s="3">
        <v>251.31</v>
      </c>
      <c r="S242" s="3">
        <v>244.62</v>
      </c>
      <c r="T242" s="3">
        <v>559</v>
      </c>
      <c r="U242" s="3">
        <v>6</v>
      </c>
      <c r="V242" t="s">
        <v>96</v>
      </c>
    </row>
    <row r="243" spans="1:22" x14ac:dyDescent="0.3">
      <c r="A243" t="s">
        <v>327</v>
      </c>
      <c r="B243" s="1">
        <v>46214</v>
      </c>
      <c r="C243" t="s">
        <v>45</v>
      </c>
      <c r="D243" t="s">
        <v>59</v>
      </c>
      <c r="E243" t="s">
        <v>60</v>
      </c>
      <c r="F243" t="s">
        <v>48</v>
      </c>
      <c r="G243" t="s">
        <v>49</v>
      </c>
      <c r="H243">
        <v>1</v>
      </c>
      <c r="I243" s="3">
        <v>299</v>
      </c>
      <c r="J243" s="4">
        <v>15</v>
      </c>
      <c r="K243" s="3">
        <v>254</v>
      </c>
      <c r="L243" s="3">
        <v>254</v>
      </c>
      <c r="M243" t="s">
        <v>102</v>
      </c>
      <c r="N243" t="s">
        <v>29</v>
      </c>
      <c r="O243" s="3">
        <v>35</v>
      </c>
      <c r="P243" t="s">
        <v>30</v>
      </c>
      <c r="Q243" s="3">
        <v>14.32</v>
      </c>
      <c r="R243" s="3">
        <v>127.28</v>
      </c>
      <c r="S243" s="3">
        <v>77.400000000000006</v>
      </c>
      <c r="T243" s="3">
        <v>254</v>
      </c>
      <c r="U243" s="3">
        <v>28</v>
      </c>
      <c r="V243" t="s">
        <v>50</v>
      </c>
    </row>
    <row r="244" spans="1:22" x14ac:dyDescent="0.3">
      <c r="A244" t="s">
        <v>328</v>
      </c>
      <c r="B244" s="1">
        <v>46071</v>
      </c>
      <c r="C244" t="s">
        <v>95</v>
      </c>
      <c r="D244" t="s">
        <v>130</v>
      </c>
      <c r="E244" t="s">
        <v>54</v>
      </c>
      <c r="F244" t="s">
        <v>26</v>
      </c>
      <c r="G244" t="s">
        <v>27</v>
      </c>
      <c r="H244">
        <v>2</v>
      </c>
      <c r="I244" s="3">
        <v>699</v>
      </c>
      <c r="J244" s="4">
        <v>20</v>
      </c>
      <c r="K244" s="3">
        <v>559</v>
      </c>
      <c r="L244" s="3">
        <v>1118</v>
      </c>
      <c r="M244" t="s">
        <v>64</v>
      </c>
      <c r="N244" t="s">
        <v>37</v>
      </c>
      <c r="O244" s="3">
        <v>45</v>
      </c>
      <c r="P244" t="s">
        <v>30</v>
      </c>
      <c r="Q244" s="3">
        <v>83.89</v>
      </c>
      <c r="R244" s="3">
        <v>529.83000000000004</v>
      </c>
      <c r="S244" s="3">
        <v>459.28</v>
      </c>
      <c r="T244" s="3">
        <v>559</v>
      </c>
      <c r="U244" s="3">
        <v>8</v>
      </c>
      <c r="V244" t="s">
        <v>96</v>
      </c>
    </row>
    <row r="245" spans="1:22" x14ac:dyDescent="0.3">
      <c r="A245" t="s">
        <v>329</v>
      </c>
      <c r="B245" s="1">
        <v>46039</v>
      </c>
      <c r="C245" t="s">
        <v>52</v>
      </c>
      <c r="D245" t="s">
        <v>115</v>
      </c>
      <c r="E245" t="s">
        <v>116</v>
      </c>
      <c r="F245" t="s">
        <v>100</v>
      </c>
      <c r="G245" t="s">
        <v>101</v>
      </c>
      <c r="H245">
        <v>1</v>
      </c>
      <c r="I245" s="3">
        <v>249</v>
      </c>
      <c r="J245" s="4">
        <v>20</v>
      </c>
      <c r="K245" s="3">
        <v>199</v>
      </c>
      <c r="L245" s="3">
        <v>199</v>
      </c>
      <c r="M245" t="s">
        <v>28</v>
      </c>
      <c r="N245" t="s">
        <v>37</v>
      </c>
      <c r="O245" s="3">
        <v>35</v>
      </c>
      <c r="P245" t="s">
        <v>30</v>
      </c>
      <c r="Q245" s="3">
        <v>11.28</v>
      </c>
      <c r="R245" s="3">
        <v>93.98</v>
      </c>
      <c r="S245" s="3">
        <v>58.74</v>
      </c>
      <c r="T245" s="3">
        <v>199</v>
      </c>
      <c r="U245" s="3">
        <v>3</v>
      </c>
      <c r="V245" t="s">
        <v>57</v>
      </c>
    </row>
    <row r="246" spans="1:22" x14ac:dyDescent="0.3">
      <c r="A246" t="s">
        <v>330</v>
      </c>
      <c r="B246" s="1">
        <v>46194</v>
      </c>
      <c r="C246" t="s">
        <v>78</v>
      </c>
      <c r="D246" t="s">
        <v>24</v>
      </c>
      <c r="E246" t="s">
        <v>25</v>
      </c>
      <c r="F246" t="s">
        <v>79</v>
      </c>
      <c r="G246" t="s">
        <v>80</v>
      </c>
      <c r="H246">
        <v>1</v>
      </c>
      <c r="I246" s="3">
        <v>349</v>
      </c>
      <c r="J246" s="4">
        <v>15</v>
      </c>
      <c r="K246" s="3">
        <v>297</v>
      </c>
      <c r="L246" s="3">
        <v>297</v>
      </c>
      <c r="M246" t="s">
        <v>28</v>
      </c>
      <c r="N246" t="s">
        <v>37</v>
      </c>
      <c r="O246" s="3">
        <v>55</v>
      </c>
      <c r="P246" t="s">
        <v>30</v>
      </c>
      <c r="Q246" s="3">
        <v>22.37</v>
      </c>
      <c r="R246" s="3">
        <v>126.28</v>
      </c>
      <c r="S246" s="3">
        <v>93.35</v>
      </c>
      <c r="T246" s="3">
        <v>297</v>
      </c>
      <c r="U246" s="3">
        <v>25</v>
      </c>
      <c r="V246" t="s">
        <v>81</v>
      </c>
    </row>
    <row r="247" spans="1:22" x14ac:dyDescent="0.3">
      <c r="A247" t="s">
        <v>331</v>
      </c>
      <c r="B247" s="1">
        <v>46242</v>
      </c>
      <c r="C247" t="s">
        <v>67</v>
      </c>
      <c r="D247" t="s">
        <v>59</v>
      </c>
      <c r="E247" t="s">
        <v>60</v>
      </c>
      <c r="F247" t="s">
        <v>109</v>
      </c>
      <c r="G247" t="s">
        <v>110</v>
      </c>
      <c r="H247">
        <v>1</v>
      </c>
      <c r="I247" s="3">
        <v>299</v>
      </c>
      <c r="J247" s="4">
        <v>25</v>
      </c>
      <c r="K247" s="3">
        <v>224</v>
      </c>
      <c r="L247" s="3">
        <v>224</v>
      </c>
      <c r="M247" t="s">
        <v>28</v>
      </c>
      <c r="N247" t="s">
        <v>37</v>
      </c>
      <c r="O247" s="3">
        <v>35</v>
      </c>
      <c r="P247" t="s">
        <v>30</v>
      </c>
      <c r="Q247" s="3">
        <v>12.75</v>
      </c>
      <c r="R247" s="3">
        <v>100.87</v>
      </c>
      <c r="S247" s="3">
        <v>75.38</v>
      </c>
      <c r="T247" s="3">
        <v>224</v>
      </c>
      <c r="U247" s="3">
        <v>32</v>
      </c>
      <c r="V247" t="s">
        <v>71</v>
      </c>
    </row>
    <row r="248" spans="1:22" x14ac:dyDescent="0.3">
      <c r="A248" t="s">
        <v>332</v>
      </c>
      <c r="B248" s="1">
        <v>46180</v>
      </c>
      <c r="C248" t="s">
        <v>78</v>
      </c>
      <c r="D248" t="s">
        <v>53</v>
      </c>
      <c r="E248" t="s">
        <v>54</v>
      </c>
      <c r="F248" t="s">
        <v>84</v>
      </c>
      <c r="G248" t="s">
        <v>84</v>
      </c>
      <c r="H248">
        <v>1</v>
      </c>
      <c r="I248" s="3">
        <v>499</v>
      </c>
      <c r="J248" s="4">
        <v>20</v>
      </c>
      <c r="K248" s="3">
        <v>399</v>
      </c>
      <c r="L248" s="3">
        <v>399</v>
      </c>
      <c r="M248" t="s">
        <v>102</v>
      </c>
      <c r="N248" t="s">
        <v>29</v>
      </c>
      <c r="O248" s="3">
        <v>45</v>
      </c>
      <c r="P248" t="s">
        <v>30</v>
      </c>
      <c r="Q248" s="3">
        <v>22.44</v>
      </c>
      <c r="R248" s="3">
        <v>176.38</v>
      </c>
      <c r="S248" s="3">
        <v>155.18</v>
      </c>
      <c r="T248" s="3">
        <v>399</v>
      </c>
      <c r="U248" s="3">
        <v>23</v>
      </c>
      <c r="V248" t="s">
        <v>81</v>
      </c>
    </row>
    <row r="249" spans="1:22" x14ac:dyDescent="0.3">
      <c r="A249" t="s">
        <v>333</v>
      </c>
      <c r="B249" s="1">
        <v>46068</v>
      </c>
      <c r="C249" t="s">
        <v>95</v>
      </c>
      <c r="D249" t="s">
        <v>112</v>
      </c>
      <c r="E249" t="s">
        <v>47</v>
      </c>
      <c r="F249" t="s">
        <v>100</v>
      </c>
      <c r="G249" t="s">
        <v>101</v>
      </c>
      <c r="H249">
        <v>1</v>
      </c>
      <c r="I249" s="3">
        <v>299</v>
      </c>
      <c r="J249" s="4">
        <v>20</v>
      </c>
      <c r="K249" s="3">
        <v>239</v>
      </c>
      <c r="L249" s="3">
        <v>239</v>
      </c>
      <c r="M249" t="s">
        <v>28</v>
      </c>
      <c r="N249" t="s">
        <v>29</v>
      </c>
      <c r="O249" s="3">
        <v>45</v>
      </c>
      <c r="P249" t="s">
        <v>30</v>
      </c>
      <c r="Q249" s="3">
        <v>16.34</v>
      </c>
      <c r="R249" s="3">
        <v>104.38</v>
      </c>
      <c r="S249" s="3">
        <v>73.28</v>
      </c>
      <c r="T249" s="3">
        <v>239</v>
      </c>
      <c r="U249" s="3">
        <v>7</v>
      </c>
      <c r="V249" t="s">
        <v>96</v>
      </c>
    </row>
    <row r="250" spans="1:22" x14ac:dyDescent="0.3">
      <c r="A250" t="s">
        <v>334</v>
      </c>
      <c r="B250" s="1">
        <v>46028</v>
      </c>
      <c r="C250" t="s">
        <v>52</v>
      </c>
      <c r="D250" t="s">
        <v>53</v>
      </c>
      <c r="E250" t="s">
        <v>54</v>
      </c>
      <c r="F250" t="s">
        <v>42</v>
      </c>
      <c r="G250" t="s">
        <v>27</v>
      </c>
      <c r="H250">
        <v>3</v>
      </c>
      <c r="I250" s="3">
        <v>499</v>
      </c>
      <c r="J250" s="4">
        <v>5</v>
      </c>
      <c r="K250" s="3">
        <v>474</v>
      </c>
      <c r="L250" s="3">
        <v>1422</v>
      </c>
      <c r="M250" t="s">
        <v>28</v>
      </c>
      <c r="N250" t="s">
        <v>37</v>
      </c>
      <c r="O250" s="3">
        <v>65</v>
      </c>
      <c r="P250" t="s">
        <v>30</v>
      </c>
      <c r="Q250" s="3">
        <v>110.87</v>
      </c>
      <c r="R250" s="3">
        <v>687.13</v>
      </c>
      <c r="S250" s="3">
        <v>559</v>
      </c>
      <c r="T250" s="3">
        <v>474</v>
      </c>
      <c r="U250" s="3">
        <v>2</v>
      </c>
      <c r="V250" t="s">
        <v>57</v>
      </c>
    </row>
    <row r="251" spans="1:22" x14ac:dyDescent="0.3">
      <c r="A251" t="s">
        <v>335</v>
      </c>
      <c r="B251" s="1">
        <v>46121</v>
      </c>
      <c r="C251" t="s">
        <v>23</v>
      </c>
      <c r="D251" t="s">
        <v>63</v>
      </c>
      <c r="E251" t="s">
        <v>47</v>
      </c>
      <c r="F251" t="s">
        <v>109</v>
      </c>
      <c r="G251" t="s">
        <v>110</v>
      </c>
      <c r="H251">
        <v>2</v>
      </c>
      <c r="I251" s="3">
        <v>399</v>
      </c>
      <c r="J251" s="4">
        <v>25</v>
      </c>
      <c r="K251" s="3">
        <v>299</v>
      </c>
      <c r="L251" s="3">
        <v>598</v>
      </c>
      <c r="M251" t="s">
        <v>28</v>
      </c>
      <c r="N251" t="s">
        <v>29</v>
      </c>
      <c r="O251" s="3">
        <v>35</v>
      </c>
      <c r="P251" t="s">
        <v>30</v>
      </c>
      <c r="Q251" s="3">
        <v>46.24</v>
      </c>
      <c r="R251" s="3">
        <v>300.64</v>
      </c>
      <c r="S251" s="3">
        <v>216.12</v>
      </c>
      <c r="T251" s="3">
        <v>299</v>
      </c>
      <c r="U251" s="3">
        <v>15</v>
      </c>
      <c r="V251" t="s">
        <v>31</v>
      </c>
    </row>
    <row r="252" spans="1:22" x14ac:dyDescent="0.3">
      <c r="A252" t="s">
        <v>336</v>
      </c>
      <c r="B252" s="1">
        <v>46255</v>
      </c>
      <c r="C252" t="s">
        <v>67</v>
      </c>
      <c r="D252" t="s">
        <v>115</v>
      </c>
      <c r="E252" t="s">
        <v>116</v>
      </c>
      <c r="F252" t="s">
        <v>109</v>
      </c>
      <c r="G252" t="s">
        <v>110</v>
      </c>
      <c r="H252">
        <v>2</v>
      </c>
      <c r="I252" s="3">
        <v>249</v>
      </c>
      <c r="J252" s="4">
        <v>25</v>
      </c>
      <c r="K252" s="3">
        <v>187</v>
      </c>
      <c r="L252" s="3">
        <v>374</v>
      </c>
      <c r="M252" t="s">
        <v>76</v>
      </c>
      <c r="N252" t="s">
        <v>37</v>
      </c>
      <c r="O252" s="3">
        <v>45</v>
      </c>
      <c r="P252" t="s">
        <v>30</v>
      </c>
      <c r="Q252" s="3">
        <v>20.12</v>
      </c>
      <c r="R252" s="3">
        <v>158.22999999999999</v>
      </c>
      <c r="S252" s="3">
        <v>150.65</v>
      </c>
      <c r="T252" s="3">
        <v>187</v>
      </c>
      <c r="U252" s="3">
        <v>34</v>
      </c>
      <c r="V252" t="s">
        <v>71</v>
      </c>
    </row>
    <row r="253" spans="1:22" x14ac:dyDescent="0.3">
      <c r="A253" t="s">
        <v>337</v>
      </c>
      <c r="B253" s="1">
        <v>46059</v>
      </c>
      <c r="C253" t="s">
        <v>95</v>
      </c>
      <c r="D253" t="s">
        <v>53</v>
      </c>
      <c r="E253" t="s">
        <v>54</v>
      </c>
      <c r="F253" t="s">
        <v>109</v>
      </c>
      <c r="G253" t="s">
        <v>110</v>
      </c>
      <c r="H253">
        <v>1</v>
      </c>
      <c r="I253" s="3">
        <v>499</v>
      </c>
      <c r="J253" s="4">
        <v>40</v>
      </c>
      <c r="K253" s="3">
        <v>299</v>
      </c>
      <c r="L253" s="3">
        <v>299</v>
      </c>
      <c r="M253" t="s">
        <v>64</v>
      </c>
      <c r="N253" t="s">
        <v>37</v>
      </c>
      <c r="O253" s="3">
        <v>55</v>
      </c>
      <c r="P253" t="s">
        <v>30</v>
      </c>
      <c r="Q253" s="3">
        <v>21.11</v>
      </c>
      <c r="R253" s="3">
        <v>145.63999999999999</v>
      </c>
      <c r="S253" s="3">
        <v>77.25</v>
      </c>
      <c r="T253" s="3">
        <v>299</v>
      </c>
      <c r="U253" s="3">
        <v>6</v>
      </c>
      <c r="V253" t="s">
        <v>96</v>
      </c>
    </row>
    <row r="254" spans="1:22" x14ac:dyDescent="0.3">
      <c r="A254" t="s">
        <v>338</v>
      </c>
      <c r="B254" s="1">
        <v>46203</v>
      </c>
      <c r="C254" t="s">
        <v>78</v>
      </c>
      <c r="D254" t="s">
        <v>93</v>
      </c>
      <c r="E254" t="s">
        <v>47</v>
      </c>
      <c r="F254" t="s">
        <v>42</v>
      </c>
      <c r="G254" t="s">
        <v>27</v>
      </c>
      <c r="H254">
        <v>1</v>
      </c>
      <c r="I254" s="3">
        <v>699</v>
      </c>
      <c r="J254" s="4">
        <v>10</v>
      </c>
      <c r="K254" s="3">
        <v>629</v>
      </c>
      <c r="L254" s="3">
        <v>629</v>
      </c>
      <c r="M254" t="s">
        <v>76</v>
      </c>
      <c r="N254" t="s">
        <v>29</v>
      </c>
      <c r="O254" s="3">
        <v>65</v>
      </c>
      <c r="P254" t="s">
        <v>30</v>
      </c>
      <c r="Q254" s="3">
        <v>47.97</v>
      </c>
      <c r="R254" s="3">
        <v>265.19</v>
      </c>
      <c r="S254" s="3">
        <v>250.84</v>
      </c>
      <c r="T254" s="3">
        <v>629</v>
      </c>
      <c r="U254" s="3">
        <v>27</v>
      </c>
      <c r="V254" t="s">
        <v>81</v>
      </c>
    </row>
    <row r="255" spans="1:22" x14ac:dyDescent="0.3">
      <c r="A255" t="s">
        <v>339</v>
      </c>
      <c r="B255" s="1">
        <v>46117</v>
      </c>
      <c r="C255" t="s">
        <v>23</v>
      </c>
      <c r="D255" t="s">
        <v>74</v>
      </c>
      <c r="E255" t="s">
        <v>75</v>
      </c>
      <c r="F255" t="s">
        <v>79</v>
      </c>
      <c r="G255" t="s">
        <v>80</v>
      </c>
      <c r="H255">
        <v>2</v>
      </c>
      <c r="I255" s="3">
        <v>549</v>
      </c>
      <c r="J255" s="4">
        <v>25</v>
      </c>
      <c r="K255" s="3">
        <v>412</v>
      </c>
      <c r="L255" s="3">
        <v>824</v>
      </c>
      <c r="M255" t="s">
        <v>64</v>
      </c>
      <c r="N255" t="s">
        <v>29</v>
      </c>
      <c r="O255" s="3">
        <v>55</v>
      </c>
      <c r="P255" t="s">
        <v>30</v>
      </c>
      <c r="Q255" s="3">
        <v>40.700000000000003</v>
      </c>
      <c r="R255" s="3">
        <v>404.16</v>
      </c>
      <c r="S255" s="3">
        <v>324.14</v>
      </c>
      <c r="T255" s="3">
        <v>412</v>
      </c>
      <c r="U255" s="3">
        <v>14</v>
      </c>
      <c r="V255" t="s">
        <v>31</v>
      </c>
    </row>
    <row r="256" spans="1:22" x14ac:dyDescent="0.3">
      <c r="A256" t="s">
        <v>340</v>
      </c>
      <c r="B256" s="1">
        <v>46121</v>
      </c>
      <c r="C256" t="s">
        <v>23</v>
      </c>
      <c r="D256" t="s">
        <v>53</v>
      </c>
      <c r="E256" t="s">
        <v>54</v>
      </c>
      <c r="F256" t="s">
        <v>42</v>
      </c>
      <c r="G256" t="s">
        <v>27</v>
      </c>
      <c r="H256">
        <v>3</v>
      </c>
      <c r="I256" s="3">
        <v>499</v>
      </c>
      <c r="J256" s="4">
        <v>5</v>
      </c>
      <c r="K256" s="3">
        <v>474</v>
      </c>
      <c r="L256" s="3">
        <v>1422</v>
      </c>
      <c r="M256" t="s">
        <v>28</v>
      </c>
      <c r="N256" t="s">
        <v>29</v>
      </c>
      <c r="O256" s="3">
        <v>55</v>
      </c>
      <c r="P256" t="s">
        <v>30</v>
      </c>
      <c r="Q256" s="3">
        <v>84.31</v>
      </c>
      <c r="R256" s="3">
        <v>614.09</v>
      </c>
      <c r="S256" s="3">
        <v>668.6</v>
      </c>
      <c r="T256" s="3">
        <v>474</v>
      </c>
      <c r="U256" s="3">
        <v>15</v>
      </c>
      <c r="V256" t="s">
        <v>31</v>
      </c>
    </row>
    <row r="257" spans="1:22" x14ac:dyDescent="0.3">
      <c r="A257" t="s">
        <v>341</v>
      </c>
      <c r="B257" s="1">
        <v>46210</v>
      </c>
      <c r="C257" t="s">
        <v>45</v>
      </c>
      <c r="D257" t="s">
        <v>74</v>
      </c>
      <c r="E257" t="s">
        <v>75</v>
      </c>
      <c r="F257" t="s">
        <v>84</v>
      </c>
      <c r="G257" t="s">
        <v>84</v>
      </c>
      <c r="H257">
        <v>1</v>
      </c>
      <c r="I257" s="3">
        <v>549</v>
      </c>
      <c r="J257" s="4">
        <v>10</v>
      </c>
      <c r="K257" s="3">
        <v>494</v>
      </c>
      <c r="L257" s="3">
        <v>494</v>
      </c>
      <c r="M257" t="s">
        <v>64</v>
      </c>
      <c r="N257" t="s">
        <v>37</v>
      </c>
      <c r="O257" s="3">
        <v>65</v>
      </c>
      <c r="P257" t="s">
        <v>30</v>
      </c>
      <c r="Q257" s="3">
        <v>33.14</v>
      </c>
      <c r="R257" s="3">
        <v>238.36</v>
      </c>
      <c r="S257" s="3">
        <v>157.5</v>
      </c>
      <c r="T257" s="3">
        <v>494</v>
      </c>
      <c r="U257" s="3">
        <v>28</v>
      </c>
      <c r="V257" t="s">
        <v>50</v>
      </c>
    </row>
    <row r="258" spans="1:22" x14ac:dyDescent="0.3">
      <c r="A258" t="s">
        <v>342</v>
      </c>
      <c r="B258" s="1">
        <v>46138</v>
      </c>
      <c r="C258" t="s">
        <v>23</v>
      </c>
      <c r="D258" t="s">
        <v>112</v>
      </c>
      <c r="E258" t="s">
        <v>47</v>
      </c>
      <c r="F258" t="s">
        <v>84</v>
      </c>
      <c r="G258" t="s">
        <v>84</v>
      </c>
      <c r="H258">
        <v>1</v>
      </c>
      <c r="I258" s="3">
        <v>299</v>
      </c>
      <c r="J258" s="4">
        <v>10</v>
      </c>
      <c r="K258" s="3">
        <v>269</v>
      </c>
      <c r="L258" s="3">
        <v>269</v>
      </c>
      <c r="M258" t="s">
        <v>28</v>
      </c>
      <c r="N258" t="s">
        <v>29</v>
      </c>
      <c r="O258" s="3">
        <v>55</v>
      </c>
      <c r="P258" t="s">
        <v>30</v>
      </c>
      <c r="Q258" s="3">
        <v>16.91</v>
      </c>
      <c r="R258" s="3">
        <v>135.38</v>
      </c>
      <c r="S258" s="3">
        <v>61.71</v>
      </c>
      <c r="T258" s="3">
        <v>269</v>
      </c>
      <c r="U258" s="3">
        <v>17</v>
      </c>
      <c r="V258" t="s">
        <v>31</v>
      </c>
    </row>
    <row r="259" spans="1:22" x14ac:dyDescent="0.3">
      <c r="A259" t="s">
        <v>343</v>
      </c>
      <c r="B259" s="1">
        <v>46213</v>
      </c>
      <c r="C259" t="s">
        <v>45</v>
      </c>
      <c r="D259" t="s">
        <v>46</v>
      </c>
      <c r="E259" t="s">
        <v>47</v>
      </c>
      <c r="F259" t="s">
        <v>35</v>
      </c>
      <c r="G259" t="s">
        <v>36</v>
      </c>
      <c r="H259">
        <v>1</v>
      </c>
      <c r="I259" s="3">
        <v>899</v>
      </c>
      <c r="J259" s="4">
        <v>5</v>
      </c>
      <c r="K259" s="3">
        <v>854</v>
      </c>
      <c r="L259" s="3">
        <v>854</v>
      </c>
      <c r="M259" t="s">
        <v>28</v>
      </c>
      <c r="N259" t="s">
        <v>37</v>
      </c>
      <c r="O259" s="3">
        <v>45</v>
      </c>
      <c r="P259" t="s">
        <v>30</v>
      </c>
      <c r="Q259" s="3">
        <v>47.51</v>
      </c>
      <c r="R259" s="3">
        <v>375.03</v>
      </c>
      <c r="S259" s="3">
        <v>386.46</v>
      </c>
      <c r="T259" s="3">
        <v>854</v>
      </c>
      <c r="U259" s="3">
        <v>28</v>
      </c>
      <c r="V259" t="s">
        <v>50</v>
      </c>
    </row>
    <row r="260" spans="1:22" x14ac:dyDescent="0.3">
      <c r="A260" t="s">
        <v>344</v>
      </c>
      <c r="B260" s="1">
        <v>46275</v>
      </c>
      <c r="C260" t="s">
        <v>86</v>
      </c>
      <c r="D260" t="s">
        <v>112</v>
      </c>
      <c r="E260" t="s">
        <v>47</v>
      </c>
      <c r="F260" t="s">
        <v>42</v>
      </c>
      <c r="G260" t="s">
        <v>27</v>
      </c>
      <c r="H260">
        <v>1</v>
      </c>
      <c r="I260" s="3">
        <v>299</v>
      </c>
      <c r="J260" s="4">
        <v>35</v>
      </c>
      <c r="K260" s="3">
        <v>194</v>
      </c>
      <c r="L260" s="3">
        <v>194</v>
      </c>
      <c r="M260" t="s">
        <v>28</v>
      </c>
      <c r="N260" t="s">
        <v>37</v>
      </c>
      <c r="O260" s="3">
        <v>65</v>
      </c>
      <c r="P260" t="s">
        <v>30</v>
      </c>
      <c r="Q260" s="3">
        <v>13.84</v>
      </c>
      <c r="R260" s="3">
        <v>87.02</v>
      </c>
      <c r="S260" s="3">
        <v>28.14</v>
      </c>
      <c r="T260" s="3">
        <v>194</v>
      </c>
      <c r="U260" s="3">
        <v>37</v>
      </c>
      <c r="V260" t="s">
        <v>87</v>
      </c>
    </row>
    <row r="261" spans="1:22" x14ac:dyDescent="0.3">
      <c r="A261" t="s">
        <v>345</v>
      </c>
      <c r="B261" s="1">
        <v>46183</v>
      </c>
      <c r="C261" t="s">
        <v>78</v>
      </c>
      <c r="D261" t="s">
        <v>74</v>
      </c>
      <c r="E261" t="s">
        <v>75</v>
      </c>
      <c r="F261" t="s">
        <v>109</v>
      </c>
      <c r="G261" t="s">
        <v>110</v>
      </c>
      <c r="H261">
        <v>1</v>
      </c>
      <c r="I261" s="3">
        <v>549</v>
      </c>
      <c r="J261" s="4">
        <v>5</v>
      </c>
      <c r="K261" s="3">
        <v>522</v>
      </c>
      <c r="L261" s="3">
        <v>522</v>
      </c>
      <c r="M261" t="s">
        <v>28</v>
      </c>
      <c r="N261" t="s">
        <v>29</v>
      </c>
      <c r="O261" s="3">
        <v>65</v>
      </c>
      <c r="P261" t="s">
        <v>30</v>
      </c>
      <c r="Q261" s="3">
        <v>41.39</v>
      </c>
      <c r="R261" s="3">
        <v>260.20999999999998</v>
      </c>
      <c r="S261" s="3">
        <v>155.4</v>
      </c>
      <c r="T261" s="3">
        <v>522</v>
      </c>
      <c r="U261" s="3">
        <v>24</v>
      </c>
      <c r="V261" t="s">
        <v>81</v>
      </c>
    </row>
    <row r="262" spans="1:22" x14ac:dyDescent="0.3">
      <c r="A262" t="s">
        <v>346</v>
      </c>
      <c r="B262" s="1">
        <v>46278</v>
      </c>
      <c r="C262" t="s">
        <v>86</v>
      </c>
      <c r="D262" t="s">
        <v>115</v>
      </c>
      <c r="E262" t="s">
        <v>116</v>
      </c>
      <c r="F262" t="s">
        <v>55</v>
      </c>
      <c r="G262" t="s">
        <v>56</v>
      </c>
      <c r="H262">
        <v>1</v>
      </c>
      <c r="I262" s="3">
        <v>249</v>
      </c>
      <c r="J262" s="4">
        <v>30</v>
      </c>
      <c r="K262" s="3">
        <v>174</v>
      </c>
      <c r="L262" s="3">
        <v>174</v>
      </c>
      <c r="M262" t="s">
        <v>28</v>
      </c>
      <c r="N262" t="s">
        <v>29</v>
      </c>
      <c r="O262" s="3">
        <v>35</v>
      </c>
      <c r="P262" t="s">
        <v>30</v>
      </c>
      <c r="Q262" s="3">
        <v>9.2200000000000006</v>
      </c>
      <c r="R262" s="3">
        <v>89.46</v>
      </c>
      <c r="S262" s="3">
        <v>40.32</v>
      </c>
      <c r="T262" s="3">
        <v>174</v>
      </c>
      <c r="U262" s="3">
        <v>37</v>
      </c>
      <c r="V262" t="s">
        <v>87</v>
      </c>
    </row>
    <row r="263" spans="1:22" x14ac:dyDescent="0.3">
      <c r="A263" t="s">
        <v>347</v>
      </c>
      <c r="B263" s="1">
        <v>46150</v>
      </c>
      <c r="C263" t="s">
        <v>62</v>
      </c>
      <c r="D263" t="s">
        <v>40</v>
      </c>
      <c r="E263" t="s">
        <v>41</v>
      </c>
      <c r="F263" t="s">
        <v>68</v>
      </c>
      <c r="G263" t="s">
        <v>27</v>
      </c>
      <c r="H263">
        <v>1</v>
      </c>
      <c r="I263" s="3">
        <v>449</v>
      </c>
      <c r="J263" s="4">
        <v>40</v>
      </c>
      <c r="K263" s="3">
        <v>269</v>
      </c>
      <c r="L263" s="3">
        <v>269</v>
      </c>
      <c r="M263" t="s">
        <v>28</v>
      </c>
      <c r="N263" t="s">
        <v>29</v>
      </c>
      <c r="O263" s="3">
        <v>45</v>
      </c>
      <c r="P263" t="s">
        <v>30</v>
      </c>
      <c r="Q263" s="3">
        <v>11.98</v>
      </c>
      <c r="R263" s="3">
        <v>123.84</v>
      </c>
      <c r="S263" s="3">
        <v>88.18</v>
      </c>
      <c r="T263" s="3">
        <v>269</v>
      </c>
      <c r="U263" s="3">
        <v>19</v>
      </c>
      <c r="V263" t="s">
        <v>65</v>
      </c>
    </row>
    <row r="264" spans="1:22" x14ac:dyDescent="0.3">
      <c r="A264" t="s">
        <v>348</v>
      </c>
      <c r="B264" s="1">
        <v>46040</v>
      </c>
      <c r="C264" t="s">
        <v>52</v>
      </c>
      <c r="D264" t="s">
        <v>24</v>
      </c>
      <c r="E264" t="s">
        <v>25</v>
      </c>
      <c r="F264" t="s">
        <v>35</v>
      </c>
      <c r="G264" t="s">
        <v>36</v>
      </c>
      <c r="H264">
        <v>1</v>
      </c>
      <c r="I264" s="3">
        <v>349</v>
      </c>
      <c r="J264" s="4">
        <v>15</v>
      </c>
      <c r="K264" s="3">
        <v>297</v>
      </c>
      <c r="L264" s="3">
        <v>297</v>
      </c>
      <c r="M264" t="s">
        <v>28</v>
      </c>
      <c r="N264" t="s">
        <v>29</v>
      </c>
      <c r="O264" s="3">
        <v>55</v>
      </c>
      <c r="P264" t="s">
        <v>30</v>
      </c>
      <c r="Q264" s="3">
        <v>19.07</v>
      </c>
      <c r="R264" s="3">
        <v>140.09</v>
      </c>
      <c r="S264" s="3">
        <v>82.84</v>
      </c>
      <c r="T264" s="3">
        <v>297</v>
      </c>
      <c r="U264" s="3">
        <v>3</v>
      </c>
      <c r="V264" t="s">
        <v>57</v>
      </c>
    </row>
    <row r="265" spans="1:22" x14ac:dyDescent="0.3">
      <c r="A265" t="s">
        <v>349</v>
      </c>
      <c r="B265" s="1">
        <v>46245</v>
      </c>
      <c r="C265" t="s">
        <v>67</v>
      </c>
      <c r="D265" t="s">
        <v>46</v>
      </c>
      <c r="E265" t="s">
        <v>47</v>
      </c>
      <c r="F265" t="s">
        <v>79</v>
      </c>
      <c r="G265" t="s">
        <v>80</v>
      </c>
      <c r="H265">
        <v>1</v>
      </c>
      <c r="I265" s="3">
        <v>899</v>
      </c>
      <c r="J265" s="4">
        <v>40</v>
      </c>
      <c r="K265" s="3">
        <v>539</v>
      </c>
      <c r="L265" s="3">
        <v>539</v>
      </c>
      <c r="M265" t="s">
        <v>28</v>
      </c>
      <c r="N265" t="s">
        <v>37</v>
      </c>
      <c r="O265" s="3">
        <v>55</v>
      </c>
      <c r="P265" t="s">
        <v>30</v>
      </c>
      <c r="Q265" s="3">
        <v>25.27</v>
      </c>
      <c r="R265" s="3">
        <v>276.27</v>
      </c>
      <c r="S265" s="3">
        <v>182.46</v>
      </c>
      <c r="T265" s="3">
        <v>539</v>
      </c>
      <c r="U265" s="3">
        <v>33</v>
      </c>
      <c r="V265" t="s">
        <v>71</v>
      </c>
    </row>
    <row r="266" spans="1:22" x14ac:dyDescent="0.3">
      <c r="A266" t="s">
        <v>350</v>
      </c>
      <c r="B266" s="1">
        <v>46076</v>
      </c>
      <c r="C266" t="s">
        <v>95</v>
      </c>
      <c r="D266" t="s">
        <v>53</v>
      </c>
      <c r="E266" t="s">
        <v>54</v>
      </c>
      <c r="F266" t="s">
        <v>109</v>
      </c>
      <c r="G266" t="s">
        <v>110</v>
      </c>
      <c r="H266">
        <v>1</v>
      </c>
      <c r="I266" s="3">
        <v>499</v>
      </c>
      <c r="J266" s="4">
        <v>20</v>
      </c>
      <c r="K266" s="3">
        <v>399</v>
      </c>
      <c r="L266" s="3">
        <v>399</v>
      </c>
      <c r="M266" t="s">
        <v>28</v>
      </c>
      <c r="N266" t="s">
        <v>29</v>
      </c>
      <c r="O266" s="3">
        <v>45</v>
      </c>
      <c r="P266" t="s">
        <v>30</v>
      </c>
      <c r="Q266" s="3">
        <v>20.23</v>
      </c>
      <c r="R266" s="3">
        <v>168.18</v>
      </c>
      <c r="S266" s="3">
        <v>165.59</v>
      </c>
      <c r="T266" s="3">
        <v>399</v>
      </c>
      <c r="U266" s="3">
        <v>9</v>
      </c>
      <c r="V266" t="s">
        <v>96</v>
      </c>
    </row>
    <row r="267" spans="1:22" x14ac:dyDescent="0.3">
      <c r="A267" t="s">
        <v>351</v>
      </c>
      <c r="B267" s="1">
        <v>46080</v>
      </c>
      <c r="C267" t="s">
        <v>95</v>
      </c>
      <c r="D267" t="s">
        <v>33</v>
      </c>
      <c r="E267" t="s">
        <v>34</v>
      </c>
      <c r="F267" t="s">
        <v>68</v>
      </c>
      <c r="G267" t="s">
        <v>27</v>
      </c>
      <c r="H267">
        <v>1</v>
      </c>
      <c r="I267" s="3">
        <v>599</v>
      </c>
      <c r="J267" s="4">
        <v>25</v>
      </c>
      <c r="K267" s="3">
        <v>449</v>
      </c>
      <c r="L267" s="3">
        <v>449</v>
      </c>
      <c r="M267" t="s">
        <v>28</v>
      </c>
      <c r="N267" t="s">
        <v>29</v>
      </c>
      <c r="O267" s="3">
        <v>55</v>
      </c>
      <c r="P267" t="s">
        <v>30</v>
      </c>
      <c r="Q267" s="3">
        <v>22.83</v>
      </c>
      <c r="R267" s="3">
        <v>215.42</v>
      </c>
      <c r="S267" s="3">
        <v>155.75</v>
      </c>
      <c r="T267" s="3">
        <v>449</v>
      </c>
      <c r="U267" s="3">
        <v>9</v>
      </c>
      <c r="V267" t="s">
        <v>96</v>
      </c>
    </row>
    <row r="268" spans="1:22" x14ac:dyDescent="0.3">
      <c r="A268" t="s">
        <v>352</v>
      </c>
      <c r="B268" s="1">
        <v>46196</v>
      </c>
      <c r="C268" t="s">
        <v>78</v>
      </c>
      <c r="D268" t="s">
        <v>93</v>
      </c>
      <c r="E268" t="s">
        <v>47</v>
      </c>
      <c r="F268" t="s">
        <v>84</v>
      </c>
      <c r="G268" t="s">
        <v>84</v>
      </c>
      <c r="H268">
        <v>1</v>
      </c>
      <c r="I268" s="3">
        <v>699</v>
      </c>
      <c r="J268" s="4">
        <v>10</v>
      </c>
      <c r="K268" s="3">
        <v>629</v>
      </c>
      <c r="L268" s="3">
        <v>629</v>
      </c>
      <c r="M268" t="s">
        <v>69</v>
      </c>
      <c r="N268" t="s">
        <v>29</v>
      </c>
      <c r="O268" s="3">
        <v>45</v>
      </c>
      <c r="P268" t="s">
        <v>70</v>
      </c>
      <c r="Q268" s="3">
        <v>48.79</v>
      </c>
      <c r="R268" s="3">
        <v>264.60000000000002</v>
      </c>
      <c r="S268" s="3">
        <v>270.61</v>
      </c>
      <c r="T268" s="3">
        <v>629</v>
      </c>
      <c r="U268" s="3">
        <v>26</v>
      </c>
      <c r="V268" t="s">
        <v>81</v>
      </c>
    </row>
    <row r="269" spans="1:22" x14ac:dyDescent="0.3">
      <c r="A269" t="s">
        <v>353</v>
      </c>
      <c r="B269" s="1">
        <v>46136</v>
      </c>
      <c r="C269" t="s">
        <v>23</v>
      </c>
      <c r="D269" t="s">
        <v>130</v>
      </c>
      <c r="E269" t="s">
        <v>54</v>
      </c>
      <c r="F269" t="s">
        <v>26</v>
      </c>
      <c r="G269" t="s">
        <v>27</v>
      </c>
      <c r="H269">
        <v>1</v>
      </c>
      <c r="I269" s="3">
        <v>699</v>
      </c>
      <c r="J269" s="4">
        <v>5</v>
      </c>
      <c r="K269" s="3">
        <v>664</v>
      </c>
      <c r="L269" s="3">
        <v>664</v>
      </c>
      <c r="M269" t="s">
        <v>28</v>
      </c>
      <c r="N269" t="s">
        <v>37</v>
      </c>
      <c r="O269" s="3">
        <v>35</v>
      </c>
      <c r="P269" t="s">
        <v>30</v>
      </c>
      <c r="Q269" s="3">
        <v>42.04</v>
      </c>
      <c r="R269" s="3">
        <v>295.69</v>
      </c>
      <c r="S269" s="3">
        <v>291.27</v>
      </c>
      <c r="T269" s="3">
        <v>664</v>
      </c>
      <c r="U269" s="3">
        <v>17</v>
      </c>
      <c r="V269" t="s">
        <v>31</v>
      </c>
    </row>
    <row r="270" spans="1:22" x14ac:dyDescent="0.3">
      <c r="A270" t="s">
        <v>354</v>
      </c>
      <c r="B270" s="1">
        <v>46173</v>
      </c>
      <c r="C270" t="s">
        <v>62</v>
      </c>
      <c r="D270" t="s">
        <v>93</v>
      </c>
      <c r="E270" t="s">
        <v>47</v>
      </c>
      <c r="F270" t="s">
        <v>68</v>
      </c>
      <c r="G270" t="s">
        <v>27</v>
      </c>
      <c r="H270">
        <v>1</v>
      </c>
      <c r="I270" s="3">
        <v>699</v>
      </c>
      <c r="J270" s="4">
        <v>30</v>
      </c>
      <c r="K270" s="3">
        <v>489</v>
      </c>
      <c r="L270" s="3">
        <v>489</v>
      </c>
      <c r="M270" t="s">
        <v>28</v>
      </c>
      <c r="N270" t="s">
        <v>37</v>
      </c>
      <c r="O270" s="3">
        <v>65</v>
      </c>
      <c r="P270" t="s">
        <v>30</v>
      </c>
      <c r="Q270" s="3">
        <v>23.76</v>
      </c>
      <c r="R270" s="3">
        <v>237.9</v>
      </c>
      <c r="S270" s="3">
        <v>162.34</v>
      </c>
      <c r="T270" s="3">
        <v>489</v>
      </c>
      <c r="U270" s="3">
        <v>22</v>
      </c>
      <c r="V270" t="s">
        <v>65</v>
      </c>
    </row>
    <row r="271" spans="1:22" x14ac:dyDescent="0.3">
      <c r="A271" t="s">
        <v>355</v>
      </c>
      <c r="B271" s="1">
        <v>46149</v>
      </c>
      <c r="C271" t="s">
        <v>62</v>
      </c>
      <c r="D271" t="s">
        <v>33</v>
      </c>
      <c r="E271" t="s">
        <v>34</v>
      </c>
      <c r="F271" t="s">
        <v>109</v>
      </c>
      <c r="G271" t="s">
        <v>110</v>
      </c>
      <c r="H271">
        <v>1</v>
      </c>
      <c r="I271" s="3">
        <v>599</v>
      </c>
      <c r="J271" s="4">
        <v>35</v>
      </c>
      <c r="K271" s="3">
        <v>389</v>
      </c>
      <c r="L271" s="3">
        <v>389</v>
      </c>
      <c r="M271" t="s">
        <v>28</v>
      </c>
      <c r="N271" t="s">
        <v>37</v>
      </c>
      <c r="O271" s="3">
        <v>35</v>
      </c>
      <c r="P271" t="s">
        <v>30</v>
      </c>
      <c r="Q271" s="3">
        <v>22.31</v>
      </c>
      <c r="R271" s="3">
        <v>173.44</v>
      </c>
      <c r="S271" s="3">
        <v>158.25</v>
      </c>
      <c r="T271" s="3">
        <v>389</v>
      </c>
      <c r="U271" s="3">
        <v>19</v>
      </c>
      <c r="V271" t="s">
        <v>65</v>
      </c>
    </row>
    <row r="272" spans="1:22" x14ac:dyDescent="0.3">
      <c r="A272" t="s">
        <v>356</v>
      </c>
      <c r="B272" s="1">
        <v>46177</v>
      </c>
      <c r="C272" t="s">
        <v>78</v>
      </c>
      <c r="D272" t="s">
        <v>53</v>
      </c>
      <c r="E272" t="s">
        <v>54</v>
      </c>
      <c r="F272" t="s">
        <v>68</v>
      </c>
      <c r="G272" t="s">
        <v>27</v>
      </c>
      <c r="H272">
        <v>3</v>
      </c>
      <c r="I272" s="3">
        <v>499</v>
      </c>
      <c r="J272" s="4">
        <v>15</v>
      </c>
      <c r="K272" s="3">
        <v>424</v>
      </c>
      <c r="L272" s="3">
        <v>1272</v>
      </c>
      <c r="M272" t="s">
        <v>28</v>
      </c>
      <c r="N272" t="s">
        <v>37</v>
      </c>
      <c r="O272" s="3">
        <v>35</v>
      </c>
      <c r="P272" t="s">
        <v>30</v>
      </c>
      <c r="Q272" s="3">
        <v>63.19</v>
      </c>
      <c r="R272" s="3">
        <v>625.07000000000005</v>
      </c>
      <c r="S272" s="3">
        <v>548.74</v>
      </c>
      <c r="T272" s="3">
        <v>424</v>
      </c>
      <c r="U272" s="3">
        <v>23</v>
      </c>
      <c r="V272" t="s">
        <v>81</v>
      </c>
    </row>
    <row r="273" spans="1:22" x14ac:dyDescent="0.3">
      <c r="A273" t="s">
        <v>357</v>
      </c>
      <c r="B273" s="1">
        <v>46126</v>
      </c>
      <c r="C273" t="s">
        <v>23</v>
      </c>
      <c r="D273" t="s">
        <v>93</v>
      </c>
      <c r="E273" t="s">
        <v>47</v>
      </c>
      <c r="F273" t="s">
        <v>100</v>
      </c>
      <c r="G273" t="s">
        <v>101</v>
      </c>
      <c r="H273">
        <v>2</v>
      </c>
      <c r="I273" s="3">
        <v>699</v>
      </c>
      <c r="J273" s="4">
        <v>30</v>
      </c>
      <c r="K273" s="3">
        <v>489</v>
      </c>
      <c r="L273" s="3">
        <v>978</v>
      </c>
      <c r="M273" t="s">
        <v>28</v>
      </c>
      <c r="N273" t="s">
        <v>37</v>
      </c>
      <c r="O273" s="3">
        <v>55</v>
      </c>
      <c r="P273" t="s">
        <v>30</v>
      </c>
      <c r="Q273" s="3">
        <v>53.05</v>
      </c>
      <c r="R273" s="3">
        <v>412.31</v>
      </c>
      <c r="S273" s="3">
        <v>457.64</v>
      </c>
      <c r="T273" s="3">
        <v>489</v>
      </c>
      <c r="U273" s="3">
        <v>16</v>
      </c>
      <c r="V273" t="s">
        <v>31</v>
      </c>
    </row>
    <row r="274" spans="1:22" x14ac:dyDescent="0.3">
      <c r="A274" t="s">
        <v>358</v>
      </c>
      <c r="B274" s="1">
        <v>46268</v>
      </c>
      <c r="C274" t="s">
        <v>86</v>
      </c>
      <c r="D274" t="s">
        <v>46</v>
      </c>
      <c r="E274" t="s">
        <v>47</v>
      </c>
      <c r="F274" t="s">
        <v>79</v>
      </c>
      <c r="G274" t="s">
        <v>80</v>
      </c>
      <c r="H274">
        <v>1</v>
      </c>
      <c r="I274" s="3">
        <v>899</v>
      </c>
      <c r="J274" s="4">
        <v>20</v>
      </c>
      <c r="K274" s="3">
        <v>719</v>
      </c>
      <c r="L274" s="3">
        <v>719</v>
      </c>
      <c r="M274" t="s">
        <v>28</v>
      </c>
      <c r="N274" t="s">
        <v>29</v>
      </c>
      <c r="O274" s="3">
        <v>35</v>
      </c>
      <c r="P274" t="s">
        <v>30</v>
      </c>
      <c r="Q274" s="3">
        <v>48.11</v>
      </c>
      <c r="R274" s="3">
        <v>307.81</v>
      </c>
      <c r="S274" s="3">
        <v>328.08</v>
      </c>
      <c r="T274" s="3">
        <v>719</v>
      </c>
      <c r="U274" s="3">
        <v>36</v>
      </c>
      <c r="V274" t="s">
        <v>87</v>
      </c>
    </row>
    <row r="275" spans="1:22" x14ac:dyDescent="0.3">
      <c r="A275" t="s">
        <v>359</v>
      </c>
      <c r="B275" s="1">
        <v>46198</v>
      </c>
      <c r="C275" t="s">
        <v>78</v>
      </c>
      <c r="D275" t="s">
        <v>24</v>
      </c>
      <c r="E275" t="s">
        <v>25</v>
      </c>
      <c r="F275" t="s">
        <v>26</v>
      </c>
      <c r="G275" t="s">
        <v>27</v>
      </c>
      <c r="H275">
        <v>2</v>
      </c>
      <c r="I275" s="3">
        <v>349</v>
      </c>
      <c r="J275" s="4">
        <v>30</v>
      </c>
      <c r="K275" s="3">
        <v>244</v>
      </c>
      <c r="L275" s="3">
        <v>488</v>
      </c>
      <c r="M275" t="s">
        <v>69</v>
      </c>
      <c r="N275" t="s">
        <v>37</v>
      </c>
      <c r="O275" s="3">
        <v>35</v>
      </c>
      <c r="P275" t="s">
        <v>70</v>
      </c>
      <c r="Q275" s="3">
        <v>34.880000000000003</v>
      </c>
      <c r="R275" s="3">
        <v>224.36</v>
      </c>
      <c r="S275" s="3">
        <v>193.76</v>
      </c>
      <c r="T275" s="3">
        <v>244</v>
      </c>
      <c r="U275" s="3">
        <v>26</v>
      </c>
      <c r="V275" t="s">
        <v>81</v>
      </c>
    </row>
    <row r="276" spans="1:22" x14ac:dyDescent="0.3">
      <c r="A276" t="s">
        <v>360</v>
      </c>
      <c r="B276" s="1">
        <v>46061</v>
      </c>
      <c r="C276" t="s">
        <v>95</v>
      </c>
      <c r="D276" t="s">
        <v>115</v>
      </c>
      <c r="E276" t="s">
        <v>116</v>
      </c>
      <c r="F276" t="s">
        <v>79</v>
      </c>
      <c r="G276" t="s">
        <v>80</v>
      </c>
      <c r="H276">
        <v>3</v>
      </c>
      <c r="I276" s="3">
        <v>249</v>
      </c>
      <c r="J276" s="4">
        <v>15</v>
      </c>
      <c r="K276" s="3">
        <v>212</v>
      </c>
      <c r="L276" s="3">
        <v>636</v>
      </c>
      <c r="M276" t="s">
        <v>76</v>
      </c>
      <c r="N276" t="s">
        <v>37</v>
      </c>
      <c r="O276" s="3">
        <v>35</v>
      </c>
      <c r="P276" t="s">
        <v>30</v>
      </c>
      <c r="Q276" s="3">
        <v>48.86</v>
      </c>
      <c r="R276" s="3">
        <v>304.29000000000002</v>
      </c>
      <c r="S276" s="3">
        <v>247.85</v>
      </c>
      <c r="T276" s="3">
        <v>212</v>
      </c>
      <c r="U276" s="3">
        <v>6</v>
      </c>
      <c r="V276" t="s">
        <v>96</v>
      </c>
    </row>
    <row r="277" spans="1:22" x14ac:dyDescent="0.3">
      <c r="A277" t="s">
        <v>361</v>
      </c>
      <c r="B277" s="1">
        <v>46192</v>
      </c>
      <c r="C277" t="s">
        <v>78</v>
      </c>
      <c r="D277" t="s">
        <v>93</v>
      </c>
      <c r="E277" t="s">
        <v>47</v>
      </c>
      <c r="F277" t="s">
        <v>42</v>
      </c>
      <c r="G277" t="s">
        <v>27</v>
      </c>
      <c r="H277">
        <v>2</v>
      </c>
      <c r="I277" s="3">
        <v>699</v>
      </c>
      <c r="J277" s="4">
        <v>25</v>
      </c>
      <c r="K277" s="3">
        <v>524</v>
      </c>
      <c r="L277" s="3">
        <v>1048</v>
      </c>
      <c r="M277" t="s">
        <v>76</v>
      </c>
      <c r="N277" t="s">
        <v>29</v>
      </c>
      <c r="O277" s="3">
        <v>35</v>
      </c>
      <c r="P277" t="s">
        <v>30</v>
      </c>
      <c r="Q277" s="3">
        <v>59.16</v>
      </c>
      <c r="R277" s="3">
        <v>531.73</v>
      </c>
      <c r="S277" s="3">
        <v>422.11</v>
      </c>
      <c r="T277" s="3">
        <v>524</v>
      </c>
      <c r="U277" s="3">
        <v>25</v>
      </c>
      <c r="V277" t="s">
        <v>81</v>
      </c>
    </row>
    <row r="278" spans="1:22" x14ac:dyDescent="0.3">
      <c r="A278" t="s">
        <v>362</v>
      </c>
      <c r="B278" s="1">
        <v>46269</v>
      </c>
      <c r="C278" t="s">
        <v>86</v>
      </c>
      <c r="D278" t="s">
        <v>112</v>
      </c>
      <c r="E278" t="s">
        <v>47</v>
      </c>
      <c r="F278" t="s">
        <v>68</v>
      </c>
      <c r="G278" t="s">
        <v>27</v>
      </c>
      <c r="H278">
        <v>1</v>
      </c>
      <c r="I278" s="3">
        <v>299</v>
      </c>
      <c r="J278" s="4">
        <v>20</v>
      </c>
      <c r="K278" s="3">
        <v>239</v>
      </c>
      <c r="L278" s="3">
        <v>239</v>
      </c>
      <c r="M278" t="s">
        <v>28</v>
      </c>
      <c r="N278" t="s">
        <v>37</v>
      </c>
      <c r="O278" s="3">
        <v>55</v>
      </c>
      <c r="P278" t="s">
        <v>30</v>
      </c>
      <c r="Q278" s="3">
        <v>10.17</v>
      </c>
      <c r="R278" s="3">
        <v>120.09</v>
      </c>
      <c r="S278" s="3">
        <v>53.74</v>
      </c>
      <c r="T278" s="3">
        <v>239</v>
      </c>
      <c r="U278" s="3">
        <v>36</v>
      </c>
      <c r="V278" t="s">
        <v>87</v>
      </c>
    </row>
    <row r="279" spans="1:22" x14ac:dyDescent="0.3">
      <c r="A279" t="s">
        <v>363</v>
      </c>
      <c r="B279" s="1">
        <v>46048</v>
      </c>
      <c r="C279" t="s">
        <v>52</v>
      </c>
      <c r="D279" t="s">
        <v>33</v>
      </c>
      <c r="E279" t="s">
        <v>34</v>
      </c>
      <c r="F279" t="s">
        <v>68</v>
      </c>
      <c r="G279" t="s">
        <v>27</v>
      </c>
      <c r="H279">
        <v>1</v>
      </c>
      <c r="I279" s="3">
        <v>599</v>
      </c>
      <c r="J279" s="4">
        <v>15</v>
      </c>
      <c r="K279" s="3">
        <v>509</v>
      </c>
      <c r="L279" s="3">
        <v>509</v>
      </c>
      <c r="M279" t="s">
        <v>28</v>
      </c>
      <c r="N279" t="s">
        <v>37</v>
      </c>
      <c r="O279" s="3">
        <v>35</v>
      </c>
      <c r="P279" t="s">
        <v>30</v>
      </c>
      <c r="Q279" s="3">
        <v>29.92</v>
      </c>
      <c r="R279" s="3">
        <v>215.22</v>
      </c>
      <c r="S279" s="3">
        <v>228.86</v>
      </c>
      <c r="T279" s="3">
        <v>509</v>
      </c>
      <c r="U279" s="3">
        <v>5</v>
      </c>
      <c r="V279" t="s">
        <v>57</v>
      </c>
    </row>
    <row r="280" spans="1:22" x14ac:dyDescent="0.3">
      <c r="A280" t="s">
        <v>364</v>
      </c>
      <c r="B280" s="1">
        <v>46035</v>
      </c>
      <c r="C280" t="s">
        <v>52</v>
      </c>
      <c r="D280" t="s">
        <v>93</v>
      </c>
      <c r="E280" t="s">
        <v>47</v>
      </c>
      <c r="F280" t="s">
        <v>55</v>
      </c>
      <c r="G280" t="s">
        <v>56</v>
      </c>
      <c r="H280">
        <v>1</v>
      </c>
      <c r="I280" s="3">
        <v>699</v>
      </c>
      <c r="J280" s="4">
        <v>5</v>
      </c>
      <c r="K280" s="3">
        <v>664</v>
      </c>
      <c r="L280" s="3">
        <v>664</v>
      </c>
      <c r="M280" t="s">
        <v>28</v>
      </c>
      <c r="N280" t="s">
        <v>37</v>
      </c>
      <c r="O280" s="3">
        <v>45</v>
      </c>
      <c r="P280" t="s">
        <v>30</v>
      </c>
      <c r="Q280" s="3">
        <v>30.8</v>
      </c>
      <c r="R280" s="3">
        <v>289.52999999999997</v>
      </c>
      <c r="S280" s="3">
        <v>298.67</v>
      </c>
      <c r="T280" s="3">
        <v>664</v>
      </c>
      <c r="U280" s="3">
        <v>3</v>
      </c>
      <c r="V280" t="s">
        <v>57</v>
      </c>
    </row>
    <row r="281" spans="1:22" x14ac:dyDescent="0.3">
      <c r="A281" t="s">
        <v>365</v>
      </c>
      <c r="B281" s="1">
        <v>46058</v>
      </c>
      <c r="C281" t="s">
        <v>95</v>
      </c>
      <c r="D281" t="s">
        <v>24</v>
      </c>
      <c r="E281" t="s">
        <v>25</v>
      </c>
      <c r="F281" t="s">
        <v>100</v>
      </c>
      <c r="G281" t="s">
        <v>101</v>
      </c>
      <c r="H281">
        <v>2</v>
      </c>
      <c r="I281" s="3">
        <v>349</v>
      </c>
      <c r="J281" s="4">
        <v>25</v>
      </c>
      <c r="K281" s="3">
        <v>262</v>
      </c>
      <c r="L281" s="3">
        <v>524</v>
      </c>
      <c r="M281" t="s">
        <v>64</v>
      </c>
      <c r="N281" t="s">
        <v>37</v>
      </c>
      <c r="O281" s="3">
        <v>55</v>
      </c>
      <c r="P281" t="s">
        <v>30</v>
      </c>
      <c r="Q281" s="3">
        <v>23.27</v>
      </c>
      <c r="R281" s="3">
        <v>235.23</v>
      </c>
      <c r="S281" s="3">
        <v>210.5</v>
      </c>
      <c r="T281" s="3">
        <v>262</v>
      </c>
      <c r="U281" s="3">
        <v>6</v>
      </c>
      <c r="V281" t="s">
        <v>96</v>
      </c>
    </row>
    <row r="282" spans="1:22" x14ac:dyDescent="0.3">
      <c r="A282" t="s">
        <v>366</v>
      </c>
      <c r="B282" s="1">
        <v>46195</v>
      </c>
      <c r="C282" t="s">
        <v>78</v>
      </c>
      <c r="D282" t="s">
        <v>59</v>
      </c>
      <c r="E282" t="s">
        <v>60</v>
      </c>
      <c r="F282" t="s">
        <v>79</v>
      </c>
      <c r="G282" t="s">
        <v>80</v>
      </c>
      <c r="H282">
        <v>1</v>
      </c>
      <c r="I282" s="3">
        <v>299</v>
      </c>
      <c r="J282" s="4">
        <v>15</v>
      </c>
      <c r="K282" s="3">
        <v>254</v>
      </c>
      <c r="L282" s="3">
        <v>254</v>
      </c>
      <c r="M282" t="s">
        <v>76</v>
      </c>
      <c r="N282" t="s">
        <v>37</v>
      </c>
      <c r="O282" s="3">
        <v>45</v>
      </c>
      <c r="P282" t="s">
        <v>30</v>
      </c>
      <c r="Q282" s="3">
        <v>18.579999999999998</v>
      </c>
      <c r="R282" s="3">
        <v>126.73</v>
      </c>
      <c r="S282" s="3">
        <v>63.69</v>
      </c>
      <c r="T282" s="3">
        <v>254</v>
      </c>
      <c r="U282" s="3">
        <v>26</v>
      </c>
      <c r="V282" t="s">
        <v>81</v>
      </c>
    </row>
    <row r="283" spans="1:22" x14ac:dyDescent="0.3">
      <c r="A283" t="s">
        <v>367</v>
      </c>
      <c r="B283" s="1">
        <v>46042</v>
      </c>
      <c r="C283" t="s">
        <v>52</v>
      </c>
      <c r="D283" t="s">
        <v>115</v>
      </c>
      <c r="E283" t="s">
        <v>116</v>
      </c>
      <c r="F283" t="s">
        <v>100</v>
      </c>
      <c r="G283" t="s">
        <v>101</v>
      </c>
      <c r="H283">
        <v>1</v>
      </c>
      <c r="I283" s="3">
        <v>249</v>
      </c>
      <c r="J283" s="4">
        <v>20</v>
      </c>
      <c r="K283" s="3">
        <v>199</v>
      </c>
      <c r="L283" s="3">
        <v>199</v>
      </c>
      <c r="M283" t="s">
        <v>28</v>
      </c>
      <c r="N283" t="s">
        <v>29</v>
      </c>
      <c r="O283" s="3">
        <v>55</v>
      </c>
      <c r="P283" t="s">
        <v>30</v>
      </c>
      <c r="Q283" s="3">
        <v>9.8000000000000007</v>
      </c>
      <c r="R283" s="3">
        <v>89.92</v>
      </c>
      <c r="S283" s="3">
        <v>44.28</v>
      </c>
      <c r="T283" s="3">
        <v>199</v>
      </c>
      <c r="U283" s="3">
        <v>4</v>
      </c>
      <c r="V283" t="s">
        <v>57</v>
      </c>
    </row>
    <row r="284" spans="1:22" x14ac:dyDescent="0.3">
      <c r="A284" t="s">
        <v>368</v>
      </c>
      <c r="B284" s="1">
        <v>46286</v>
      </c>
      <c r="C284" t="s">
        <v>86</v>
      </c>
      <c r="D284" t="s">
        <v>112</v>
      </c>
      <c r="E284" t="s">
        <v>47</v>
      </c>
      <c r="F284" t="s">
        <v>84</v>
      </c>
      <c r="G284" t="s">
        <v>84</v>
      </c>
      <c r="H284">
        <v>2</v>
      </c>
      <c r="I284" s="3">
        <v>299</v>
      </c>
      <c r="J284" s="4">
        <v>15</v>
      </c>
      <c r="K284" s="3">
        <v>254</v>
      </c>
      <c r="L284" s="3">
        <v>508</v>
      </c>
      <c r="M284" t="s">
        <v>28</v>
      </c>
      <c r="N284" t="s">
        <v>29</v>
      </c>
      <c r="O284" s="3">
        <v>35</v>
      </c>
      <c r="P284" t="s">
        <v>30</v>
      </c>
      <c r="Q284" s="3">
        <v>34.08</v>
      </c>
      <c r="R284" s="3">
        <v>255.93</v>
      </c>
      <c r="S284" s="3">
        <v>182.99</v>
      </c>
      <c r="T284" s="3">
        <v>254</v>
      </c>
      <c r="U284" s="3">
        <v>39</v>
      </c>
      <c r="V284" t="s">
        <v>87</v>
      </c>
    </row>
    <row r="285" spans="1:22" x14ac:dyDescent="0.3">
      <c r="A285" t="s">
        <v>369</v>
      </c>
      <c r="B285" s="1">
        <v>46164</v>
      </c>
      <c r="C285" t="s">
        <v>62</v>
      </c>
      <c r="D285" t="s">
        <v>74</v>
      </c>
      <c r="E285" t="s">
        <v>75</v>
      </c>
      <c r="F285" t="s">
        <v>48</v>
      </c>
      <c r="G285" t="s">
        <v>49</v>
      </c>
      <c r="H285">
        <v>1</v>
      </c>
      <c r="I285" s="3">
        <v>549</v>
      </c>
      <c r="J285" s="4">
        <v>15</v>
      </c>
      <c r="K285" s="3">
        <v>467</v>
      </c>
      <c r="L285" s="3">
        <v>467</v>
      </c>
      <c r="M285" t="s">
        <v>28</v>
      </c>
      <c r="N285" t="s">
        <v>37</v>
      </c>
      <c r="O285" s="3">
        <v>55</v>
      </c>
      <c r="P285" t="s">
        <v>30</v>
      </c>
      <c r="Q285" s="3">
        <v>22.03</v>
      </c>
      <c r="R285" s="3">
        <v>228.55</v>
      </c>
      <c r="S285" s="3">
        <v>161.41999999999999</v>
      </c>
      <c r="T285" s="3">
        <v>467</v>
      </c>
      <c r="U285" s="3">
        <v>21</v>
      </c>
      <c r="V285" t="s">
        <v>65</v>
      </c>
    </row>
    <row r="286" spans="1:22" x14ac:dyDescent="0.3">
      <c r="A286" t="s">
        <v>370</v>
      </c>
      <c r="B286" s="1">
        <v>46165</v>
      </c>
      <c r="C286" t="s">
        <v>62</v>
      </c>
      <c r="D286" t="s">
        <v>115</v>
      </c>
      <c r="E286" t="s">
        <v>116</v>
      </c>
      <c r="F286" t="s">
        <v>42</v>
      </c>
      <c r="G286" t="s">
        <v>27</v>
      </c>
      <c r="H286">
        <v>2</v>
      </c>
      <c r="I286" s="3">
        <v>249</v>
      </c>
      <c r="J286" s="4">
        <v>35</v>
      </c>
      <c r="K286" s="3">
        <v>162</v>
      </c>
      <c r="L286" s="3">
        <v>324</v>
      </c>
      <c r="M286" t="s">
        <v>28</v>
      </c>
      <c r="N286" t="s">
        <v>37</v>
      </c>
      <c r="O286" s="3">
        <v>65</v>
      </c>
      <c r="P286" t="s">
        <v>30</v>
      </c>
      <c r="Q286" s="3">
        <v>19.63</v>
      </c>
      <c r="R286" s="3">
        <v>141.31</v>
      </c>
      <c r="S286" s="3">
        <v>98.06</v>
      </c>
      <c r="T286" s="3">
        <v>162</v>
      </c>
      <c r="U286" s="3">
        <v>21</v>
      </c>
      <c r="V286" t="s">
        <v>65</v>
      </c>
    </row>
    <row r="287" spans="1:22" x14ac:dyDescent="0.3">
      <c r="A287" t="s">
        <v>371</v>
      </c>
      <c r="B287" s="1">
        <v>46114</v>
      </c>
      <c r="C287" t="s">
        <v>23</v>
      </c>
      <c r="D287" t="s">
        <v>93</v>
      </c>
      <c r="E287" t="s">
        <v>47</v>
      </c>
      <c r="F287" t="s">
        <v>68</v>
      </c>
      <c r="G287" t="s">
        <v>27</v>
      </c>
      <c r="H287">
        <v>2</v>
      </c>
      <c r="I287" s="3">
        <v>699</v>
      </c>
      <c r="J287" s="4">
        <v>10</v>
      </c>
      <c r="K287" s="3">
        <v>629</v>
      </c>
      <c r="L287" s="3">
        <v>1258</v>
      </c>
      <c r="M287" t="s">
        <v>28</v>
      </c>
      <c r="N287" t="s">
        <v>29</v>
      </c>
      <c r="O287" s="3">
        <v>55</v>
      </c>
      <c r="P287" t="s">
        <v>30</v>
      </c>
      <c r="Q287" s="3">
        <v>61.51</v>
      </c>
      <c r="R287" s="3">
        <v>593.67999999999995</v>
      </c>
      <c r="S287" s="3">
        <v>547.80999999999995</v>
      </c>
      <c r="T287" s="3">
        <v>629</v>
      </c>
      <c r="U287" s="3">
        <v>14</v>
      </c>
      <c r="V287" t="s">
        <v>31</v>
      </c>
    </row>
    <row r="288" spans="1:22" x14ac:dyDescent="0.3">
      <c r="A288" t="s">
        <v>372</v>
      </c>
      <c r="B288" s="1">
        <v>46237</v>
      </c>
      <c r="C288" t="s">
        <v>67</v>
      </c>
      <c r="D288" t="s">
        <v>115</v>
      </c>
      <c r="E288" t="s">
        <v>116</v>
      </c>
      <c r="F288" t="s">
        <v>55</v>
      </c>
      <c r="G288" t="s">
        <v>56</v>
      </c>
      <c r="H288">
        <v>1</v>
      </c>
      <c r="I288" s="3">
        <v>249</v>
      </c>
      <c r="J288" s="4">
        <v>15</v>
      </c>
      <c r="K288" s="3">
        <v>212</v>
      </c>
      <c r="L288" s="3">
        <v>212</v>
      </c>
      <c r="M288" t="s">
        <v>28</v>
      </c>
      <c r="N288" t="s">
        <v>37</v>
      </c>
      <c r="O288" s="3">
        <v>45</v>
      </c>
      <c r="P288" t="s">
        <v>30</v>
      </c>
      <c r="Q288" s="3">
        <v>16.62</v>
      </c>
      <c r="R288" s="3">
        <v>102.11</v>
      </c>
      <c r="S288" s="3">
        <v>48.27</v>
      </c>
      <c r="T288" s="3">
        <v>212</v>
      </c>
      <c r="U288" s="3">
        <v>32</v>
      </c>
      <c r="V288" t="s">
        <v>71</v>
      </c>
    </row>
    <row r="289" spans="1:22" x14ac:dyDescent="0.3">
      <c r="A289" t="s">
        <v>373</v>
      </c>
      <c r="B289" s="1">
        <v>46073</v>
      </c>
      <c r="C289" t="s">
        <v>95</v>
      </c>
      <c r="D289" t="s">
        <v>93</v>
      </c>
      <c r="E289" t="s">
        <v>47</v>
      </c>
      <c r="F289" t="s">
        <v>42</v>
      </c>
      <c r="G289" t="s">
        <v>27</v>
      </c>
      <c r="H289">
        <v>1</v>
      </c>
      <c r="I289" s="3">
        <v>699</v>
      </c>
      <c r="J289" s="4">
        <v>25</v>
      </c>
      <c r="K289" s="3">
        <v>524</v>
      </c>
      <c r="L289" s="3">
        <v>524</v>
      </c>
      <c r="M289" t="s">
        <v>76</v>
      </c>
      <c r="N289" t="s">
        <v>37</v>
      </c>
      <c r="O289" s="3">
        <v>35</v>
      </c>
      <c r="P289" t="s">
        <v>30</v>
      </c>
      <c r="Q289" s="3">
        <v>25.23</v>
      </c>
      <c r="R289" s="3">
        <v>237.24</v>
      </c>
      <c r="S289" s="3">
        <v>226.53</v>
      </c>
      <c r="T289" s="3">
        <v>524</v>
      </c>
      <c r="U289" s="3">
        <v>8</v>
      </c>
      <c r="V289" t="s">
        <v>96</v>
      </c>
    </row>
    <row r="290" spans="1:22" x14ac:dyDescent="0.3">
      <c r="A290" t="s">
        <v>374</v>
      </c>
      <c r="B290" s="1">
        <v>46175</v>
      </c>
      <c r="C290" t="s">
        <v>78</v>
      </c>
      <c r="D290" t="s">
        <v>93</v>
      </c>
      <c r="E290" t="s">
        <v>47</v>
      </c>
      <c r="F290" t="s">
        <v>26</v>
      </c>
      <c r="G290" t="s">
        <v>27</v>
      </c>
      <c r="H290">
        <v>1</v>
      </c>
      <c r="I290" s="3">
        <v>699</v>
      </c>
      <c r="J290" s="4">
        <v>40</v>
      </c>
      <c r="K290" s="3">
        <v>419</v>
      </c>
      <c r="L290" s="3">
        <v>419</v>
      </c>
      <c r="M290" t="s">
        <v>76</v>
      </c>
      <c r="N290" t="s">
        <v>37</v>
      </c>
      <c r="O290" s="3">
        <v>35</v>
      </c>
      <c r="P290" t="s">
        <v>30</v>
      </c>
      <c r="Q290" s="3">
        <v>18.72</v>
      </c>
      <c r="R290" s="3">
        <v>190.11</v>
      </c>
      <c r="S290" s="3">
        <v>175.17</v>
      </c>
      <c r="T290" s="3">
        <v>419</v>
      </c>
      <c r="U290" s="3">
        <v>23</v>
      </c>
      <c r="V290" t="s">
        <v>81</v>
      </c>
    </row>
    <row r="291" spans="1:22" x14ac:dyDescent="0.3">
      <c r="A291" t="s">
        <v>375</v>
      </c>
      <c r="B291" s="1">
        <v>46208</v>
      </c>
      <c r="C291" t="s">
        <v>45</v>
      </c>
      <c r="D291" t="s">
        <v>24</v>
      </c>
      <c r="E291" t="s">
        <v>25</v>
      </c>
      <c r="F291" t="s">
        <v>42</v>
      </c>
      <c r="G291" t="s">
        <v>27</v>
      </c>
      <c r="H291">
        <v>1</v>
      </c>
      <c r="I291" s="3">
        <v>349</v>
      </c>
      <c r="J291" s="4">
        <v>20</v>
      </c>
      <c r="K291" s="3">
        <v>279</v>
      </c>
      <c r="L291" s="3">
        <v>279</v>
      </c>
      <c r="M291" t="s">
        <v>102</v>
      </c>
      <c r="N291" t="s">
        <v>29</v>
      </c>
      <c r="O291" s="3">
        <v>55</v>
      </c>
      <c r="P291" t="s">
        <v>30</v>
      </c>
      <c r="Q291" s="3">
        <v>19.79</v>
      </c>
      <c r="R291" s="3">
        <v>143.72999999999999</v>
      </c>
      <c r="S291" s="3">
        <v>60.48</v>
      </c>
      <c r="T291" s="3">
        <v>279</v>
      </c>
      <c r="U291" s="3">
        <v>27</v>
      </c>
      <c r="V291" t="s">
        <v>50</v>
      </c>
    </row>
    <row r="292" spans="1:22" x14ac:dyDescent="0.3">
      <c r="A292" t="s">
        <v>376</v>
      </c>
      <c r="B292" s="1">
        <v>46085</v>
      </c>
      <c r="C292" t="s">
        <v>39</v>
      </c>
      <c r="D292" t="s">
        <v>93</v>
      </c>
      <c r="E292" t="s">
        <v>47</v>
      </c>
      <c r="F292" t="s">
        <v>48</v>
      </c>
      <c r="G292" t="s">
        <v>49</v>
      </c>
      <c r="H292">
        <v>1</v>
      </c>
      <c r="I292" s="3">
        <v>699</v>
      </c>
      <c r="J292" s="4">
        <v>20</v>
      </c>
      <c r="K292" s="3">
        <v>559</v>
      </c>
      <c r="L292" s="3">
        <v>559</v>
      </c>
      <c r="M292" t="s">
        <v>102</v>
      </c>
      <c r="N292" t="s">
        <v>37</v>
      </c>
      <c r="O292" s="3">
        <v>55</v>
      </c>
      <c r="P292" t="s">
        <v>30</v>
      </c>
      <c r="Q292" s="3">
        <v>37.76</v>
      </c>
      <c r="R292" s="3">
        <v>248.94</v>
      </c>
      <c r="S292" s="3">
        <v>217.3</v>
      </c>
      <c r="T292" s="3">
        <v>559</v>
      </c>
      <c r="U292" s="3">
        <v>10</v>
      </c>
      <c r="V292" t="s">
        <v>43</v>
      </c>
    </row>
    <row r="293" spans="1:22" x14ac:dyDescent="0.3">
      <c r="A293" t="s">
        <v>377</v>
      </c>
      <c r="B293" s="1">
        <v>46212</v>
      </c>
      <c r="C293" t="s">
        <v>45</v>
      </c>
      <c r="D293" t="s">
        <v>59</v>
      </c>
      <c r="E293" t="s">
        <v>60</v>
      </c>
      <c r="F293" t="s">
        <v>48</v>
      </c>
      <c r="G293" t="s">
        <v>49</v>
      </c>
      <c r="H293">
        <v>1</v>
      </c>
      <c r="I293" s="3">
        <v>299</v>
      </c>
      <c r="J293" s="4">
        <v>30</v>
      </c>
      <c r="K293" s="3">
        <v>209</v>
      </c>
      <c r="L293" s="3">
        <v>209</v>
      </c>
      <c r="M293" t="s">
        <v>64</v>
      </c>
      <c r="N293" t="s">
        <v>37</v>
      </c>
      <c r="O293" s="3">
        <v>65</v>
      </c>
      <c r="P293" t="s">
        <v>30</v>
      </c>
      <c r="Q293" s="3">
        <v>10.06</v>
      </c>
      <c r="R293" s="3">
        <v>90.44</v>
      </c>
      <c r="S293" s="3">
        <v>43.5</v>
      </c>
      <c r="T293" s="3">
        <v>209</v>
      </c>
      <c r="U293" s="3">
        <v>28</v>
      </c>
      <c r="V293" t="s">
        <v>50</v>
      </c>
    </row>
    <row r="294" spans="1:22" x14ac:dyDescent="0.3">
      <c r="A294" t="s">
        <v>378</v>
      </c>
      <c r="B294" s="1">
        <v>46147</v>
      </c>
      <c r="C294" t="s">
        <v>62</v>
      </c>
      <c r="D294" t="s">
        <v>115</v>
      </c>
      <c r="E294" t="s">
        <v>116</v>
      </c>
      <c r="F294" t="s">
        <v>84</v>
      </c>
      <c r="G294" t="s">
        <v>84</v>
      </c>
      <c r="H294">
        <v>2</v>
      </c>
      <c r="I294" s="3">
        <v>249</v>
      </c>
      <c r="J294" s="4">
        <v>20</v>
      </c>
      <c r="K294" s="3">
        <v>199</v>
      </c>
      <c r="L294" s="3">
        <v>398</v>
      </c>
      <c r="M294" t="s">
        <v>28</v>
      </c>
      <c r="N294" t="s">
        <v>29</v>
      </c>
      <c r="O294" s="3">
        <v>55</v>
      </c>
      <c r="P294" t="s">
        <v>30</v>
      </c>
      <c r="Q294" s="3">
        <v>17.13</v>
      </c>
      <c r="R294" s="3">
        <v>182.6</v>
      </c>
      <c r="S294" s="3">
        <v>143.27000000000001</v>
      </c>
      <c r="T294" s="3">
        <v>199</v>
      </c>
      <c r="U294" s="3">
        <v>19</v>
      </c>
      <c r="V294" t="s">
        <v>65</v>
      </c>
    </row>
    <row r="295" spans="1:22" x14ac:dyDescent="0.3">
      <c r="A295" t="s">
        <v>379</v>
      </c>
      <c r="B295" s="1">
        <v>46172</v>
      </c>
      <c r="C295" t="s">
        <v>62</v>
      </c>
      <c r="D295" t="s">
        <v>74</v>
      </c>
      <c r="E295" t="s">
        <v>75</v>
      </c>
      <c r="F295" t="s">
        <v>26</v>
      </c>
      <c r="G295" t="s">
        <v>27</v>
      </c>
      <c r="H295">
        <v>1</v>
      </c>
      <c r="I295" s="3">
        <v>549</v>
      </c>
      <c r="J295" s="4">
        <v>35</v>
      </c>
      <c r="K295" s="3">
        <v>357</v>
      </c>
      <c r="L295" s="3">
        <v>357</v>
      </c>
      <c r="M295" t="s">
        <v>28</v>
      </c>
      <c r="N295" t="s">
        <v>37</v>
      </c>
      <c r="O295" s="3">
        <v>35</v>
      </c>
      <c r="P295" t="s">
        <v>30</v>
      </c>
      <c r="Q295" s="3">
        <v>24.89</v>
      </c>
      <c r="R295" s="3">
        <v>180.21</v>
      </c>
      <c r="S295" s="3">
        <v>116.9</v>
      </c>
      <c r="T295" s="3">
        <v>357</v>
      </c>
      <c r="U295" s="3">
        <v>22</v>
      </c>
      <c r="V295" t="s">
        <v>65</v>
      </c>
    </row>
    <row r="296" spans="1:22" x14ac:dyDescent="0.3">
      <c r="A296" t="s">
        <v>380</v>
      </c>
      <c r="B296" s="1">
        <v>46080</v>
      </c>
      <c r="C296" t="s">
        <v>95</v>
      </c>
      <c r="D296" t="s">
        <v>93</v>
      </c>
      <c r="E296" t="s">
        <v>47</v>
      </c>
      <c r="F296" t="s">
        <v>26</v>
      </c>
      <c r="G296" t="s">
        <v>27</v>
      </c>
      <c r="H296">
        <v>1</v>
      </c>
      <c r="I296" s="3">
        <v>699</v>
      </c>
      <c r="J296" s="4">
        <v>30</v>
      </c>
      <c r="K296" s="3">
        <v>489</v>
      </c>
      <c r="L296" s="3">
        <v>489</v>
      </c>
      <c r="M296" t="s">
        <v>28</v>
      </c>
      <c r="N296" t="s">
        <v>37</v>
      </c>
      <c r="O296" s="3">
        <v>65</v>
      </c>
      <c r="P296" t="s">
        <v>30</v>
      </c>
      <c r="Q296" s="3">
        <v>38</v>
      </c>
      <c r="R296" s="3">
        <v>207.47</v>
      </c>
      <c r="S296" s="3">
        <v>178.53</v>
      </c>
      <c r="T296" s="3">
        <v>489</v>
      </c>
      <c r="U296" s="3">
        <v>9</v>
      </c>
      <c r="V296" t="s">
        <v>96</v>
      </c>
    </row>
    <row r="297" spans="1:22" x14ac:dyDescent="0.3">
      <c r="A297" t="s">
        <v>381</v>
      </c>
      <c r="B297" s="1">
        <v>46202</v>
      </c>
      <c r="C297" t="s">
        <v>78</v>
      </c>
      <c r="D297" t="s">
        <v>74</v>
      </c>
      <c r="E297" t="s">
        <v>75</v>
      </c>
      <c r="F297" t="s">
        <v>109</v>
      </c>
      <c r="G297" t="s">
        <v>110</v>
      </c>
      <c r="H297">
        <v>1</v>
      </c>
      <c r="I297" s="3">
        <v>549</v>
      </c>
      <c r="J297" s="4">
        <v>25</v>
      </c>
      <c r="K297" s="3">
        <v>412</v>
      </c>
      <c r="L297" s="3">
        <v>412</v>
      </c>
      <c r="M297" t="s">
        <v>76</v>
      </c>
      <c r="N297" t="s">
        <v>29</v>
      </c>
      <c r="O297" s="3">
        <v>65</v>
      </c>
      <c r="P297" t="s">
        <v>30</v>
      </c>
      <c r="Q297" s="3">
        <v>24.13</v>
      </c>
      <c r="R297" s="3">
        <v>202.82</v>
      </c>
      <c r="S297" s="3">
        <v>120.05</v>
      </c>
      <c r="T297" s="3">
        <v>412</v>
      </c>
      <c r="U297" s="3">
        <v>27</v>
      </c>
      <c r="V297" t="s">
        <v>81</v>
      </c>
    </row>
    <row r="298" spans="1:22" x14ac:dyDescent="0.3">
      <c r="A298" t="s">
        <v>382</v>
      </c>
      <c r="B298" s="1">
        <v>46192</v>
      </c>
      <c r="C298" t="s">
        <v>78</v>
      </c>
      <c r="D298" t="s">
        <v>33</v>
      </c>
      <c r="E298" t="s">
        <v>34</v>
      </c>
      <c r="F298" t="s">
        <v>26</v>
      </c>
      <c r="G298" t="s">
        <v>27</v>
      </c>
      <c r="H298">
        <v>1</v>
      </c>
      <c r="I298" s="3">
        <v>599</v>
      </c>
      <c r="J298" s="4">
        <v>20</v>
      </c>
      <c r="K298" s="3">
        <v>479</v>
      </c>
      <c r="L298" s="3">
        <v>479</v>
      </c>
      <c r="M298" t="s">
        <v>28</v>
      </c>
      <c r="N298" t="s">
        <v>37</v>
      </c>
      <c r="O298" s="3">
        <v>65</v>
      </c>
      <c r="P298" t="s">
        <v>30</v>
      </c>
      <c r="Q298" s="3">
        <v>20.99</v>
      </c>
      <c r="R298" s="3">
        <v>206.15</v>
      </c>
      <c r="S298" s="3">
        <v>186.86</v>
      </c>
      <c r="T298" s="3">
        <v>479</v>
      </c>
      <c r="U298" s="3">
        <v>25</v>
      </c>
      <c r="V298" t="s">
        <v>81</v>
      </c>
    </row>
    <row r="299" spans="1:22" x14ac:dyDescent="0.3">
      <c r="A299" t="s">
        <v>383</v>
      </c>
      <c r="B299" s="1">
        <v>46076</v>
      </c>
      <c r="C299" t="s">
        <v>95</v>
      </c>
      <c r="D299" t="s">
        <v>130</v>
      </c>
      <c r="E299" t="s">
        <v>54</v>
      </c>
      <c r="F299" t="s">
        <v>79</v>
      </c>
      <c r="G299" t="s">
        <v>80</v>
      </c>
      <c r="H299">
        <v>1</v>
      </c>
      <c r="I299" s="3">
        <v>699</v>
      </c>
      <c r="J299" s="4">
        <v>20</v>
      </c>
      <c r="K299" s="3">
        <v>559</v>
      </c>
      <c r="L299" s="3">
        <v>559</v>
      </c>
      <c r="M299" t="s">
        <v>28</v>
      </c>
      <c r="N299" t="s">
        <v>37</v>
      </c>
      <c r="O299" s="3">
        <v>45</v>
      </c>
      <c r="P299" t="s">
        <v>30</v>
      </c>
      <c r="Q299" s="3">
        <v>40.32</v>
      </c>
      <c r="R299" s="3">
        <v>263.74</v>
      </c>
      <c r="S299" s="3">
        <v>209.94</v>
      </c>
      <c r="T299" s="3">
        <v>559</v>
      </c>
      <c r="U299" s="3">
        <v>9</v>
      </c>
      <c r="V299" t="s">
        <v>96</v>
      </c>
    </row>
    <row r="300" spans="1:22" x14ac:dyDescent="0.3">
      <c r="A300" t="s">
        <v>384</v>
      </c>
      <c r="B300" s="1">
        <v>46123</v>
      </c>
      <c r="C300" t="s">
        <v>23</v>
      </c>
      <c r="D300" t="s">
        <v>63</v>
      </c>
      <c r="E300" t="s">
        <v>47</v>
      </c>
      <c r="F300" t="s">
        <v>84</v>
      </c>
      <c r="G300" t="s">
        <v>84</v>
      </c>
      <c r="H300">
        <v>1</v>
      </c>
      <c r="I300" s="3">
        <v>399</v>
      </c>
      <c r="J300" s="4">
        <v>30</v>
      </c>
      <c r="K300" s="3">
        <v>279</v>
      </c>
      <c r="L300" s="3">
        <v>279</v>
      </c>
      <c r="M300" t="s">
        <v>28</v>
      </c>
      <c r="N300" t="s">
        <v>37</v>
      </c>
      <c r="O300" s="3">
        <v>35</v>
      </c>
      <c r="P300" t="s">
        <v>30</v>
      </c>
      <c r="Q300" s="3">
        <v>15.03</v>
      </c>
      <c r="R300" s="3">
        <v>128.08000000000001</v>
      </c>
      <c r="S300" s="3">
        <v>100.89</v>
      </c>
      <c r="T300" s="3">
        <v>279</v>
      </c>
      <c r="U300" s="3">
        <v>15</v>
      </c>
      <c r="V300" t="s">
        <v>31</v>
      </c>
    </row>
    <row r="301" spans="1:22" x14ac:dyDescent="0.3">
      <c r="A301" t="s">
        <v>385</v>
      </c>
      <c r="B301" s="1">
        <v>46286</v>
      </c>
      <c r="C301" t="s">
        <v>86</v>
      </c>
      <c r="D301" t="s">
        <v>115</v>
      </c>
      <c r="E301" t="s">
        <v>116</v>
      </c>
      <c r="F301" t="s">
        <v>84</v>
      </c>
      <c r="G301" t="s">
        <v>84</v>
      </c>
      <c r="H301">
        <v>1</v>
      </c>
      <c r="I301" s="3">
        <v>249</v>
      </c>
      <c r="J301" s="4">
        <v>30</v>
      </c>
      <c r="K301" s="3">
        <v>174</v>
      </c>
      <c r="L301" s="3">
        <v>174</v>
      </c>
      <c r="M301" t="s">
        <v>64</v>
      </c>
      <c r="N301" t="s">
        <v>37</v>
      </c>
      <c r="O301" s="3">
        <v>35</v>
      </c>
      <c r="P301" t="s">
        <v>30</v>
      </c>
      <c r="Q301" s="3">
        <v>11.36</v>
      </c>
      <c r="R301" s="3">
        <v>75.8</v>
      </c>
      <c r="S301" s="3">
        <v>51.84</v>
      </c>
      <c r="T301" s="3">
        <v>174</v>
      </c>
      <c r="U301" s="3">
        <v>39</v>
      </c>
      <c r="V301" t="s">
        <v>87</v>
      </c>
    </row>
    <row r="302" spans="1:22" x14ac:dyDescent="0.3">
      <c r="A302" t="s">
        <v>386</v>
      </c>
      <c r="B302" s="1">
        <v>46075</v>
      </c>
      <c r="C302" t="s">
        <v>95</v>
      </c>
      <c r="D302" t="s">
        <v>33</v>
      </c>
      <c r="E302" t="s">
        <v>34</v>
      </c>
      <c r="F302" t="s">
        <v>109</v>
      </c>
      <c r="G302" t="s">
        <v>110</v>
      </c>
      <c r="H302">
        <v>1</v>
      </c>
      <c r="I302" s="3">
        <v>599</v>
      </c>
      <c r="J302" s="4">
        <v>25</v>
      </c>
      <c r="K302" s="3">
        <v>449</v>
      </c>
      <c r="L302" s="3">
        <v>449</v>
      </c>
      <c r="M302" t="s">
        <v>28</v>
      </c>
      <c r="N302" t="s">
        <v>29</v>
      </c>
      <c r="O302" s="3">
        <v>35</v>
      </c>
      <c r="P302" t="s">
        <v>30</v>
      </c>
      <c r="Q302" s="3">
        <v>21.82</v>
      </c>
      <c r="R302" s="3">
        <v>207.66</v>
      </c>
      <c r="S302" s="3">
        <v>184.52</v>
      </c>
      <c r="T302" s="3">
        <v>449</v>
      </c>
      <c r="U302" s="3">
        <v>8</v>
      </c>
      <c r="V302" t="s">
        <v>96</v>
      </c>
    </row>
    <row r="303" spans="1:22" x14ac:dyDescent="0.3">
      <c r="A303" t="s">
        <v>387</v>
      </c>
      <c r="B303" s="1">
        <v>46082</v>
      </c>
      <c r="C303" t="s">
        <v>39</v>
      </c>
      <c r="D303" t="s">
        <v>59</v>
      </c>
      <c r="E303" t="s">
        <v>60</v>
      </c>
      <c r="F303" t="s">
        <v>42</v>
      </c>
      <c r="G303" t="s">
        <v>27</v>
      </c>
      <c r="H303">
        <v>1</v>
      </c>
      <c r="I303" s="3">
        <v>299</v>
      </c>
      <c r="J303" s="4">
        <v>10</v>
      </c>
      <c r="K303" s="3">
        <v>269</v>
      </c>
      <c r="L303" s="3">
        <v>269</v>
      </c>
      <c r="M303" t="s">
        <v>28</v>
      </c>
      <c r="N303" t="s">
        <v>37</v>
      </c>
      <c r="O303" s="3">
        <v>55</v>
      </c>
      <c r="P303" t="s">
        <v>30</v>
      </c>
      <c r="Q303" s="3">
        <v>17.86</v>
      </c>
      <c r="R303" s="3">
        <v>134.4</v>
      </c>
      <c r="S303" s="3">
        <v>61.74</v>
      </c>
      <c r="T303" s="3">
        <v>269</v>
      </c>
      <c r="U303" s="3">
        <v>9</v>
      </c>
      <c r="V303" t="s">
        <v>43</v>
      </c>
    </row>
    <row r="304" spans="1:22" x14ac:dyDescent="0.3">
      <c r="A304" t="s">
        <v>388</v>
      </c>
      <c r="B304" s="1">
        <v>46130</v>
      </c>
      <c r="C304" t="s">
        <v>23</v>
      </c>
      <c r="D304" t="s">
        <v>112</v>
      </c>
      <c r="E304" t="s">
        <v>47</v>
      </c>
      <c r="F304" t="s">
        <v>48</v>
      </c>
      <c r="G304" t="s">
        <v>49</v>
      </c>
      <c r="H304">
        <v>1</v>
      </c>
      <c r="I304" s="3">
        <v>299</v>
      </c>
      <c r="J304" s="4">
        <v>35</v>
      </c>
      <c r="K304" s="3">
        <v>194</v>
      </c>
      <c r="L304" s="3">
        <v>194</v>
      </c>
      <c r="M304" t="s">
        <v>28</v>
      </c>
      <c r="N304" t="s">
        <v>37</v>
      </c>
      <c r="O304" s="3">
        <v>35</v>
      </c>
      <c r="P304" t="s">
        <v>30</v>
      </c>
      <c r="Q304" s="3">
        <v>11.86</v>
      </c>
      <c r="R304" s="3">
        <v>97.5</v>
      </c>
      <c r="S304" s="3">
        <v>49.64</v>
      </c>
      <c r="T304" s="3">
        <v>194</v>
      </c>
      <c r="U304" s="3">
        <v>16</v>
      </c>
      <c r="V304" t="s">
        <v>31</v>
      </c>
    </row>
    <row r="305" spans="1:22" x14ac:dyDescent="0.3">
      <c r="A305" t="s">
        <v>389</v>
      </c>
      <c r="B305" s="1">
        <v>46027</v>
      </c>
      <c r="C305" t="s">
        <v>52</v>
      </c>
      <c r="D305" t="s">
        <v>33</v>
      </c>
      <c r="E305" t="s">
        <v>34</v>
      </c>
      <c r="F305" t="s">
        <v>35</v>
      </c>
      <c r="G305" t="s">
        <v>36</v>
      </c>
      <c r="H305">
        <v>2</v>
      </c>
      <c r="I305" s="3">
        <v>599</v>
      </c>
      <c r="J305" s="4">
        <v>10</v>
      </c>
      <c r="K305" s="3">
        <v>539</v>
      </c>
      <c r="L305" s="3">
        <v>1078</v>
      </c>
      <c r="M305" t="s">
        <v>76</v>
      </c>
      <c r="N305" t="s">
        <v>37</v>
      </c>
      <c r="O305" s="3">
        <v>55</v>
      </c>
      <c r="P305" t="s">
        <v>30</v>
      </c>
      <c r="Q305" s="3">
        <v>76.67</v>
      </c>
      <c r="R305" s="3">
        <v>534.78</v>
      </c>
      <c r="S305" s="3">
        <v>411.55</v>
      </c>
      <c r="T305" s="3">
        <v>539</v>
      </c>
      <c r="U305" s="3">
        <v>2</v>
      </c>
      <c r="V305" t="s">
        <v>57</v>
      </c>
    </row>
    <row r="306" spans="1:22" x14ac:dyDescent="0.3">
      <c r="A306" t="s">
        <v>390</v>
      </c>
      <c r="B306" s="1">
        <v>46125</v>
      </c>
      <c r="C306" t="s">
        <v>23</v>
      </c>
      <c r="D306" t="s">
        <v>130</v>
      </c>
      <c r="E306" t="s">
        <v>54</v>
      </c>
      <c r="F306" t="s">
        <v>68</v>
      </c>
      <c r="G306" t="s">
        <v>27</v>
      </c>
      <c r="H306">
        <v>1</v>
      </c>
      <c r="I306" s="3">
        <v>699</v>
      </c>
      <c r="J306" s="4">
        <v>20</v>
      </c>
      <c r="K306" s="3">
        <v>559</v>
      </c>
      <c r="L306" s="3">
        <v>559</v>
      </c>
      <c r="M306" t="s">
        <v>28</v>
      </c>
      <c r="N306" t="s">
        <v>37</v>
      </c>
      <c r="O306" s="3">
        <v>35</v>
      </c>
      <c r="P306" t="s">
        <v>30</v>
      </c>
      <c r="Q306" s="3">
        <v>32.729999999999997</v>
      </c>
      <c r="R306" s="3">
        <v>249.54</v>
      </c>
      <c r="S306" s="3">
        <v>241.73</v>
      </c>
      <c r="T306" s="3">
        <v>559</v>
      </c>
      <c r="U306" s="3">
        <v>16</v>
      </c>
      <c r="V306" t="s">
        <v>31</v>
      </c>
    </row>
    <row r="307" spans="1:22" x14ac:dyDescent="0.3">
      <c r="A307" t="s">
        <v>391</v>
      </c>
      <c r="B307" s="1">
        <v>46218</v>
      </c>
      <c r="C307" t="s">
        <v>45</v>
      </c>
      <c r="D307" t="s">
        <v>74</v>
      </c>
      <c r="E307" t="s">
        <v>75</v>
      </c>
      <c r="F307" t="s">
        <v>100</v>
      </c>
      <c r="G307" t="s">
        <v>101</v>
      </c>
      <c r="H307">
        <v>1</v>
      </c>
      <c r="I307" s="3">
        <v>549</v>
      </c>
      <c r="J307" s="4">
        <v>35</v>
      </c>
      <c r="K307" s="3">
        <v>357</v>
      </c>
      <c r="L307" s="3">
        <v>357</v>
      </c>
      <c r="M307" t="s">
        <v>76</v>
      </c>
      <c r="N307" t="s">
        <v>37</v>
      </c>
      <c r="O307" s="3">
        <v>35</v>
      </c>
      <c r="P307" t="s">
        <v>30</v>
      </c>
      <c r="Q307" s="3">
        <v>27.1</v>
      </c>
      <c r="R307" s="3">
        <v>181.65</v>
      </c>
      <c r="S307" s="3">
        <v>113.25</v>
      </c>
      <c r="T307" s="3">
        <v>357</v>
      </c>
      <c r="U307" s="3">
        <v>29</v>
      </c>
      <c r="V307" t="s">
        <v>50</v>
      </c>
    </row>
    <row r="308" spans="1:22" x14ac:dyDescent="0.3">
      <c r="A308" t="s">
        <v>392</v>
      </c>
      <c r="B308" s="1">
        <v>46284</v>
      </c>
      <c r="C308" t="s">
        <v>86</v>
      </c>
      <c r="D308" t="s">
        <v>115</v>
      </c>
      <c r="E308" t="s">
        <v>116</v>
      </c>
      <c r="F308" t="s">
        <v>79</v>
      </c>
      <c r="G308" t="s">
        <v>80</v>
      </c>
      <c r="H308">
        <v>1</v>
      </c>
      <c r="I308" s="3">
        <v>249</v>
      </c>
      <c r="J308" s="4">
        <v>10</v>
      </c>
      <c r="K308" s="3">
        <v>224</v>
      </c>
      <c r="L308" s="3">
        <v>224</v>
      </c>
      <c r="M308" t="s">
        <v>76</v>
      </c>
      <c r="N308" t="s">
        <v>37</v>
      </c>
      <c r="O308" s="3">
        <v>35</v>
      </c>
      <c r="P308" t="s">
        <v>30</v>
      </c>
      <c r="Q308" s="3">
        <v>14.13</v>
      </c>
      <c r="R308" s="3">
        <v>95.59</v>
      </c>
      <c r="S308" s="3">
        <v>79.28</v>
      </c>
      <c r="T308" s="3">
        <v>224</v>
      </c>
      <c r="U308" s="3">
        <v>38</v>
      </c>
      <c r="V308" t="s">
        <v>87</v>
      </c>
    </row>
    <row r="309" spans="1:22" x14ac:dyDescent="0.3">
      <c r="A309" t="s">
        <v>393</v>
      </c>
      <c r="B309" s="1">
        <v>46069</v>
      </c>
      <c r="C309" t="s">
        <v>95</v>
      </c>
      <c r="D309" t="s">
        <v>130</v>
      </c>
      <c r="E309" t="s">
        <v>54</v>
      </c>
      <c r="F309" t="s">
        <v>68</v>
      </c>
      <c r="G309" t="s">
        <v>27</v>
      </c>
      <c r="H309">
        <v>1</v>
      </c>
      <c r="I309" s="3">
        <v>699</v>
      </c>
      <c r="J309" s="4">
        <v>20</v>
      </c>
      <c r="K309" s="3">
        <v>559</v>
      </c>
      <c r="L309" s="3">
        <v>559</v>
      </c>
      <c r="M309" t="s">
        <v>28</v>
      </c>
      <c r="N309" t="s">
        <v>37</v>
      </c>
      <c r="O309" s="3">
        <v>65</v>
      </c>
      <c r="P309" t="s">
        <v>30</v>
      </c>
      <c r="Q309" s="3">
        <v>31.55</v>
      </c>
      <c r="R309" s="3">
        <v>242.05</v>
      </c>
      <c r="S309" s="3">
        <v>220.4</v>
      </c>
      <c r="T309" s="3">
        <v>559</v>
      </c>
      <c r="U309" s="3">
        <v>8</v>
      </c>
      <c r="V309" t="s">
        <v>96</v>
      </c>
    </row>
    <row r="310" spans="1:22" x14ac:dyDescent="0.3">
      <c r="A310" t="s">
        <v>394</v>
      </c>
      <c r="B310" s="1">
        <v>46166</v>
      </c>
      <c r="C310" t="s">
        <v>62</v>
      </c>
      <c r="D310" t="s">
        <v>33</v>
      </c>
      <c r="E310" t="s">
        <v>34</v>
      </c>
      <c r="F310" t="s">
        <v>100</v>
      </c>
      <c r="G310" t="s">
        <v>101</v>
      </c>
      <c r="H310">
        <v>2</v>
      </c>
      <c r="I310" s="3">
        <v>599</v>
      </c>
      <c r="J310" s="4">
        <v>25</v>
      </c>
      <c r="K310" s="3">
        <v>449</v>
      </c>
      <c r="L310" s="3">
        <v>898</v>
      </c>
      <c r="M310" t="s">
        <v>28</v>
      </c>
      <c r="N310" t="s">
        <v>37</v>
      </c>
      <c r="O310" s="3">
        <v>65</v>
      </c>
      <c r="P310" t="s">
        <v>30</v>
      </c>
      <c r="Q310" s="3">
        <v>47.13</v>
      </c>
      <c r="R310" s="3">
        <v>378.57</v>
      </c>
      <c r="S310" s="3">
        <v>407.3</v>
      </c>
      <c r="T310" s="3">
        <v>449</v>
      </c>
      <c r="U310" s="3">
        <v>21</v>
      </c>
      <c r="V310" t="s">
        <v>65</v>
      </c>
    </row>
    <row r="311" spans="1:22" x14ac:dyDescent="0.3">
      <c r="A311" t="s">
        <v>395</v>
      </c>
      <c r="B311" s="1">
        <v>46146</v>
      </c>
      <c r="C311" t="s">
        <v>62</v>
      </c>
      <c r="D311" t="s">
        <v>40</v>
      </c>
      <c r="E311" t="s">
        <v>41</v>
      </c>
      <c r="F311" t="s">
        <v>26</v>
      </c>
      <c r="G311" t="s">
        <v>27</v>
      </c>
      <c r="H311">
        <v>1</v>
      </c>
      <c r="I311" s="3">
        <v>449</v>
      </c>
      <c r="J311" s="4">
        <v>15</v>
      </c>
      <c r="K311" s="3">
        <v>382</v>
      </c>
      <c r="L311" s="3">
        <v>382</v>
      </c>
      <c r="M311" t="s">
        <v>28</v>
      </c>
      <c r="N311" t="s">
        <v>29</v>
      </c>
      <c r="O311" s="3">
        <v>65</v>
      </c>
      <c r="P311" t="s">
        <v>30</v>
      </c>
      <c r="Q311" s="3">
        <v>24.75</v>
      </c>
      <c r="R311" s="3">
        <v>181.96</v>
      </c>
      <c r="S311" s="3">
        <v>110.29</v>
      </c>
      <c r="T311" s="3">
        <v>382</v>
      </c>
      <c r="U311" s="3">
        <v>19</v>
      </c>
      <c r="V311" t="s">
        <v>65</v>
      </c>
    </row>
    <row r="312" spans="1:22" x14ac:dyDescent="0.3">
      <c r="A312" t="s">
        <v>396</v>
      </c>
      <c r="B312" s="1">
        <v>46128</v>
      </c>
      <c r="C312" t="s">
        <v>23</v>
      </c>
      <c r="D312" t="s">
        <v>63</v>
      </c>
      <c r="E312" t="s">
        <v>47</v>
      </c>
      <c r="F312" t="s">
        <v>68</v>
      </c>
      <c r="G312" t="s">
        <v>27</v>
      </c>
      <c r="H312">
        <v>1</v>
      </c>
      <c r="I312" s="3">
        <v>399</v>
      </c>
      <c r="J312" s="4">
        <v>10</v>
      </c>
      <c r="K312" s="3">
        <v>359</v>
      </c>
      <c r="L312" s="3">
        <v>359</v>
      </c>
      <c r="M312" t="s">
        <v>28</v>
      </c>
      <c r="N312" t="s">
        <v>37</v>
      </c>
      <c r="O312" s="3">
        <v>55</v>
      </c>
      <c r="P312" t="s">
        <v>30</v>
      </c>
      <c r="Q312" s="3">
        <v>20.71</v>
      </c>
      <c r="R312" s="3">
        <v>176.18</v>
      </c>
      <c r="S312" s="3">
        <v>107.11</v>
      </c>
      <c r="T312" s="3">
        <v>359</v>
      </c>
      <c r="U312" s="3">
        <v>16</v>
      </c>
      <c r="V312" t="s">
        <v>31</v>
      </c>
    </row>
    <row r="313" spans="1:22" x14ac:dyDescent="0.3">
      <c r="A313" t="s">
        <v>397</v>
      </c>
      <c r="B313" s="1">
        <v>46180</v>
      </c>
      <c r="C313" t="s">
        <v>78</v>
      </c>
      <c r="D313" t="s">
        <v>130</v>
      </c>
      <c r="E313" t="s">
        <v>54</v>
      </c>
      <c r="F313" t="s">
        <v>84</v>
      </c>
      <c r="G313" t="s">
        <v>84</v>
      </c>
      <c r="H313">
        <v>2</v>
      </c>
      <c r="I313" s="3">
        <v>699</v>
      </c>
      <c r="J313" s="4">
        <v>20</v>
      </c>
      <c r="K313" s="3">
        <v>559</v>
      </c>
      <c r="L313" s="3">
        <v>1118</v>
      </c>
      <c r="M313" t="s">
        <v>28</v>
      </c>
      <c r="N313" t="s">
        <v>29</v>
      </c>
      <c r="O313" s="3">
        <v>65</v>
      </c>
      <c r="P313" t="s">
        <v>30</v>
      </c>
      <c r="Q313" s="3">
        <v>68.319999999999993</v>
      </c>
      <c r="R313" s="3">
        <v>493.22</v>
      </c>
      <c r="S313" s="3">
        <v>491.46</v>
      </c>
      <c r="T313" s="3">
        <v>559</v>
      </c>
      <c r="U313" s="3">
        <v>23</v>
      </c>
      <c r="V313" t="s">
        <v>81</v>
      </c>
    </row>
    <row r="314" spans="1:22" x14ac:dyDescent="0.3">
      <c r="A314" t="s">
        <v>398</v>
      </c>
      <c r="B314" s="1">
        <v>46169</v>
      </c>
      <c r="C314" t="s">
        <v>62</v>
      </c>
      <c r="D314" t="s">
        <v>59</v>
      </c>
      <c r="E314" t="s">
        <v>60</v>
      </c>
      <c r="F314" t="s">
        <v>26</v>
      </c>
      <c r="G314" t="s">
        <v>27</v>
      </c>
      <c r="H314">
        <v>1</v>
      </c>
      <c r="I314" s="3">
        <v>299</v>
      </c>
      <c r="J314" s="4">
        <v>30</v>
      </c>
      <c r="K314" s="3">
        <v>209</v>
      </c>
      <c r="L314" s="3">
        <v>209</v>
      </c>
      <c r="M314" t="s">
        <v>76</v>
      </c>
      <c r="N314" t="s">
        <v>29</v>
      </c>
      <c r="O314" s="3">
        <v>35</v>
      </c>
      <c r="P314" t="s">
        <v>30</v>
      </c>
      <c r="Q314" s="3">
        <v>12.57</v>
      </c>
      <c r="R314" s="3">
        <v>107.62</v>
      </c>
      <c r="S314" s="3">
        <v>53.81</v>
      </c>
      <c r="T314" s="3">
        <v>209</v>
      </c>
      <c r="U314" s="3">
        <v>22</v>
      </c>
      <c r="V314" t="s">
        <v>65</v>
      </c>
    </row>
    <row r="315" spans="1:22" x14ac:dyDescent="0.3">
      <c r="A315" t="s">
        <v>399</v>
      </c>
      <c r="B315" s="1">
        <v>46167</v>
      </c>
      <c r="C315" t="s">
        <v>62</v>
      </c>
      <c r="D315" t="s">
        <v>33</v>
      </c>
      <c r="E315" t="s">
        <v>34</v>
      </c>
      <c r="F315" t="s">
        <v>55</v>
      </c>
      <c r="G315" t="s">
        <v>56</v>
      </c>
      <c r="H315">
        <v>2</v>
      </c>
      <c r="I315" s="3">
        <v>599</v>
      </c>
      <c r="J315" s="4">
        <v>10</v>
      </c>
      <c r="K315" s="3">
        <v>539</v>
      </c>
      <c r="L315" s="3">
        <v>1078</v>
      </c>
      <c r="M315" t="s">
        <v>69</v>
      </c>
      <c r="N315" t="s">
        <v>29</v>
      </c>
      <c r="O315" s="3">
        <v>65</v>
      </c>
      <c r="P315" t="s">
        <v>70</v>
      </c>
      <c r="Q315" s="3">
        <v>64.7</v>
      </c>
      <c r="R315" s="3">
        <v>527.24</v>
      </c>
      <c r="S315" s="3">
        <v>421.06</v>
      </c>
      <c r="T315" s="3">
        <v>539</v>
      </c>
      <c r="U315" s="3">
        <v>22</v>
      </c>
      <c r="V315" t="s">
        <v>65</v>
      </c>
    </row>
    <row r="316" spans="1:22" x14ac:dyDescent="0.3">
      <c r="A316" t="s">
        <v>400</v>
      </c>
      <c r="B316" s="1">
        <v>46142</v>
      </c>
      <c r="C316" t="s">
        <v>23</v>
      </c>
      <c r="D316" t="s">
        <v>53</v>
      </c>
      <c r="E316" t="s">
        <v>54</v>
      </c>
      <c r="F316" t="s">
        <v>109</v>
      </c>
      <c r="G316" t="s">
        <v>110</v>
      </c>
      <c r="H316">
        <v>1</v>
      </c>
      <c r="I316" s="3">
        <v>499</v>
      </c>
      <c r="J316" s="4">
        <v>10</v>
      </c>
      <c r="K316" s="3">
        <v>449</v>
      </c>
      <c r="L316" s="3">
        <v>449</v>
      </c>
      <c r="M316" t="s">
        <v>28</v>
      </c>
      <c r="N316" t="s">
        <v>37</v>
      </c>
      <c r="O316" s="3">
        <v>65</v>
      </c>
      <c r="P316" t="s">
        <v>30</v>
      </c>
      <c r="Q316" s="3">
        <v>25.39</v>
      </c>
      <c r="R316" s="3">
        <v>197.75</v>
      </c>
      <c r="S316" s="3">
        <v>160.86000000000001</v>
      </c>
      <c r="T316" s="3">
        <v>449</v>
      </c>
      <c r="U316" s="3">
        <v>18</v>
      </c>
      <c r="V316" t="s">
        <v>31</v>
      </c>
    </row>
    <row r="317" spans="1:22" x14ac:dyDescent="0.3">
      <c r="A317" t="s">
        <v>401</v>
      </c>
      <c r="B317" s="1">
        <v>46114</v>
      </c>
      <c r="C317" t="s">
        <v>23</v>
      </c>
      <c r="D317" t="s">
        <v>46</v>
      </c>
      <c r="E317" t="s">
        <v>47</v>
      </c>
      <c r="F317" t="s">
        <v>42</v>
      </c>
      <c r="G317" t="s">
        <v>27</v>
      </c>
      <c r="H317">
        <v>2</v>
      </c>
      <c r="I317" s="3">
        <v>899</v>
      </c>
      <c r="J317" s="4">
        <v>10</v>
      </c>
      <c r="K317" s="3">
        <v>809</v>
      </c>
      <c r="L317" s="3">
        <v>1618</v>
      </c>
      <c r="M317" t="s">
        <v>28</v>
      </c>
      <c r="N317" t="s">
        <v>37</v>
      </c>
      <c r="O317" s="3">
        <v>65</v>
      </c>
      <c r="P317" t="s">
        <v>30</v>
      </c>
      <c r="Q317" s="3">
        <v>66.34</v>
      </c>
      <c r="R317" s="3">
        <v>707.3</v>
      </c>
      <c r="S317" s="3">
        <v>779.36</v>
      </c>
      <c r="T317" s="3">
        <v>809</v>
      </c>
      <c r="U317" s="3">
        <v>14</v>
      </c>
      <c r="V317" t="s">
        <v>31</v>
      </c>
    </row>
    <row r="318" spans="1:22" x14ac:dyDescent="0.3">
      <c r="A318" t="s">
        <v>402</v>
      </c>
      <c r="B318" s="1">
        <v>46080</v>
      </c>
      <c r="C318" t="s">
        <v>95</v>
      </c>
      <c r="D318" t="s">
        <v>40</v>
      </c>
      <c r="E318" t="s">
        <v>41</v>
      </c>
      <c r="F318" t="s">
        <v>109</v>
      </c>
      <c r="G318" t="s">
        <v>110</v>
      </c>
      <c r="H318">
        <v>1</v>
      </c>
      <c r="I318" s="3">
        <v>449</v>
      </c>
      <c r="J318" s="4">
        <v>35</v>
      </c>
      <c r="K318" s="3">
        <v>292</v>
      </c>
      <c r="L318" s="3">
        <v>292</v>
      </c>
      <c r="M318" t="s">
        <v>28</v>
      </c>
      <c r="N318" t="s">
        <v>37</v>
      </c>
      <c r="O318" s="3">
        <v>45</v>
      </c>
      <c r="P318" t="s">
        <v>30</v>
      </c>
      <c r="Q318" s="3">
        <v>16.37</v>
      </c>
      <c r="R318" s="3">
        <v>127.13</v>
      </c>
      <c r="S318" s="3">
        <v>103.5</v>
      </c>
      <c r="T318" s="3">
        <v>292</v>
      </c>
      <c r="U318" s="3">
        <v>9</v>
      </c>
      <c r="V318" t="s">
        <v>96</v>
      </c>
    </row>
    <row r="319" spans="1:22" x14ac:dyDescent="0.3">
      <c r="A319" t="s">
        <v>403</v>
      </c>
      <c r="B319" s="1">
        <v>46251</v>
      </c>
      <c r="C319" t="s">
        <v>67</v>
      </c>
      <c r="D319" t="s">
        <v>112</v>
      </c>
      <c r="E319" t="s">
        <v>47</v>
      </c>
      <c r="F319" t="s">
        <v>26</v>
      </c>
      <c r="G319" t="s">
        <v>27</v>
      </c>
      <c r="H319">
        <v>2</v>
      </c>
      <c r="I319" s="3">
        <v>299</v>
      </c>
      <c r="J319" s="4">
        <v>25</v>
      </c>
      <c r="K319" s="3">
        <v>224</v>
      </c>
      <c r="L319" s="3">
        <v>448</v>
      </c>
      <c r="M319" t="s">
        <v>28</v>
      </c>
      <c r="N319" t="s">
        <v>37</v>
      </c>
      <c r="O319" s="3">
        <v>65</v>
      </c>
      <c r="P319" t="s">
        <v>30</v>
      </c>
      <c r="Q319" s="3">
        <v>28.57</v>
      </c>
      <c r="R319" s="3">
        <v>219.64</v>
      </c>
      <c r="S319" s="3">
        <v>134.79</v>
      </c>
      <c r="T319" s="3">
        <v>224</v>
      </c>
      <c r="U319" s="3">
        <v>34</v>
      </c>
      <c r="V319" t="s">
        <v>71</v>
      </c>
    </row>
    <row r="320" spans="1:22" x14ac:dyDescent="0.3">
      <c r="A320" t="s">
        <v>404</v>
      </c>
      <c r="B320" s="1">
        <v>46139</v>
      </c>
      <c r="C320" t="s">
        <v>23</v>
      </c>
      <c r="D320" t="s">
        <v>24</v>
      </c>
      <c r="E320" t="s">
        <v>25</v>
      </c>
      <c r="F320" t="s">
        <v>42</v>
      </c>
      <c r="G320" t="s">
        <v>27</v>
      </c>
      <c r="H320">
        <v>1</v>
      </c>
      <c r="I320" s="3">
        <v>349</v>
      </c>
      <c r="J320" s="4">
        <v>35</v>
      </c>
      <c r="K320" s="3">
        <v>227</v>
      </c>
      <c r="L320" s="3">
        <v>227</v>
      </c>
      <c r="M320" t="s">
        <v>102</v>
      </c>
      <c r="N320" t="s">
        <v>29</v>
      </c>
      <c r="O320" s="3">
        <v>45</v>
      </c>
      <c r="P320" t="s">
        <v>30</v>
      </c>
      <c r="Q320" s="3">
        <v>14.5</v>
      </c>
      <c r="R320" s="3">
        <v>106.73</v>
      </c>
      <c r="S320" s="3">
        <v>60.77</v>
      </c>
      <c r="T320" s="3">
        <v>227</v>
      </c>
      <c r="U320" s="3">
        <v>18</v>
      </c>
      <c r="V320" t="s">
        <v>31</v>
      </c>
    </row>
    <row r="321" spans="1:22" x14ac:dyDescent="0.3">
      <c r="A321" t="s">
        <v>405</v>
      </c>
      <c r="B321" s="1">
        <v>46149</v>
      </c>
      <c r="C321" t="s">
        <v>62</v>
      </c>
      <c r="D321" t="s">
        <v>40</v>
      </c>
      <c r="E321" t="s">
        <v>41</v>
      </c>
      <c r="F321" t="s">
        <v>100</v>
      </c>
      <c r="G321" t="s">
        <v>101</v>
      </c>
      <c r="H321">
        <v>2</v>
      </c>
      <c r="I321" s="3">
        <v>449</v>
      </c>
      <c r="J321" s="4">
        <v>35</v>
      </c>
      <c r="K321" s="3">
        <v>292</v>
      </c>
      <c r="L321" s="3">
        <v>584</v>
      </c>
      <c r="M321" t="s">
        <v>28</v>
      </c>
      <c r="N321" t="s">
        <v>29</v>
      </c>
      <c r="O321" s="3">
        <v>55</v>
      </c>
      <c r="P321" t="s">
        <v>30</v>
      </c>
      <c r="Q321" s="3">
        <v>24.06</v>
      </c>
      <c r="R321" s="3">
        <v>297.69</v>
      </c>
      <c r="S321" s="3">
        <v>207.25</v>
      </c>
      <c r="T321" s="3">
        <v>292</v>
      </c>
      <c r="U321" s="3">
        <v>19</v>
      </c>
      <c r="V321" t="s">
        <v>65</v>
      </c>
    </row>
    <row r="322" spans="1:22" x14ac:dyDescent="0.3">
      <c r="A322" t="s">
        <v>406</v>
      </c>
      <c r="B322" s="1">
        <v>46151</v>
      </c>
      <c r="C322" t="s">
        <v>62</v>
      </c>
      <c r="D322" t="s">
        <v>115</v>
      </c>
      <c r="E322" t="s">
        <v>116</v>
      </c>
      <c r="F322" t="s">
        <v>48</v>
      </c>
      <c r="G322" t="s">
        <v>49</v>
      </c>
      <c r="H322">
        <v>1</v>
      </c>
      <c r="I322" s="3">
        <v>249</v>
      </c>
      <c r="J322" s="4">
        <v>30</v>
      </c>
      <c r="K322" s="3">
        <v>174</v>
      </c>
      <c r="L322" s="3">
        <v>174</v>
      </c>
      <c r="M322" t="s">
        <v>28</v>
      </c>
      <c r="N322" t="s">
        <v>37</v>
      </c>
      <c r="O322" s="3">
        <v>65</v>
      </c>
      <c r="P322" t="s">
        <v>30</v>
      </c>
      <c r="Q322" s="3">
        <v>9.3800000000000008</v>
      </c>
      <c r="R322" s="3">
        <v>80.66</v>
      </c>
      <c r="S322" s="3">
        <v>18.96</v>
      </c>
      <c r="T322" s="3">
        <v>174</v>
      </c>
      <c r="U322" s="3">
        <v>19</v>
      </c>
      <c r="V322" t="s">
        <v>65</v>
      </c>
    </row>
    <row r="323" spans="1:22" x14ac:dyDescent="0.3">
      <c r="A323" t="s">
        <v>407</v>
      </c>
      <c r="B323" s="1">
        <v>46080</v>
      </c>
      <c r="C323" t="s">
        <v>95</v>
      </c>
      <c r="D323" t="s">
        <v>93</v>
      </c>
      <c r="E323" t="s">
        <v>47</v>
      </c>
      <c r="F323" t="s">
        <v>68</v>
      </c>
      <c r="G323" t="s">
        <v>27</v>
      </c>
      <c r="H323">
        <v>2</v>
      </c>
      <c r="I323" s="3">
        <v>699</v>
      </c>
      <c r="J323" s="4">
        <v>10</v>
      </c>
      <c r="K323" s="3">
        <v>629</v>
      </c>
      <c r="L323" s="3">
        <v>1258</v>
      </c>
      <c r="M323" t="s">
        <v>28</v>
      </c>
      <c r="N323" t="s">
        <v>37</v>
      </c>
      <c r="O323" s="3">
        <v>45</v>
      </c>
      <c r="P323" t="s">
        <v>30</v>
      </c>
      <c r="Q323" s="3">
        <v>71.260000000000005</v>
      </c>
      <c r="R323" s="3">
        <v>549.51</v>
      </c>
      <c r="S323" s="3">
        <v>592.23</v>
      </c>
      <c r="T323" s="3">
        <v>629</v>
      </c>
      <c r="U323" s="3">
        <v>9</v>
      </c>
      <c r="V323" t="s">
        <v>96</v>
      </c>
    </row>
    <row r="324" spans="1:22" x14ac:dyDescent="0.3">
      <c r="A324" t="s">
        <v>408</v>
      </c>
      <c r="B324" s="1">
        <v>46144</v>
      </c>
      <c r="C324" t="s">
        <v>62</v>
      </c>
      <c r="D324" t="s">
        <v>46</v>
      </c>
      <c r="E324" t="s">
        <v>47</v>
      </c>
      <c r="F324" t="s">
        <v>109</v>
      </c>
      <c r="G324" t="s">
        <v>110</v>
      </c>
      <c r="H324">
        <v>2</v>
      </c>
      <c r="I324" s="3">
        <v>899</v>
      </c>
      <c r="J324" s="4">
        <v>10</v>
      </c>
      <c r="K324" s="3">
        <v>809</v>
      </c>
      <c r="L324" s="3">
        <v>1618</v>
      </c>
      <c r="M324" t="s">
        <v>28</v>
      </c>
      <c r="N324" t="s">
        <v>29</v>
      </c>
      <c r="O324" s="3">
        <v>65</v>
      </c>
      <c r="P324" t="s">
        <v>30</v>
      </c>
      <c r="Q324" s="3">
        <v>127.7</v>
      </c>
      <c r="R324" s="3">
        <v>802.41</v>
      </c>
      <c r="S324" s="3">
        <v>622.89</v>
      </c>
      <c r="T324" s="3">
        <v>809</v>
      </c>
      <c r="U324" s="3">
        <v>18</v>
      </c>
      <c r="V324" t="s">
        <v>65</v>
      </c>
    </row>
    <row r="325" spans="1:22" x14ac:dyDescent="0.3">
      <c r="A325" t="s">
        <v>409</v>
      </c>
      <c r="B325" s="1">
        <v>46023</v>
      </c>
      <c r="C325" t="s">
        <v>52</v>
      </c>
      <c r="D325" t="s">
        <v>40</v>
      </c>
      <c r="E325" t="s">
        <v>41</v>
      </c>
      <c r="F325" t="s">
        <v>79</v>
      </c>
      <c r="G325" t="s">
        <v>80</v>
      </c>
      <c r="H325">
        <v>1</v>
      </c>
      <c r="I325" s="3">
        <v>449</v>
      </c>
      <c r="J325" s="4">
        <v>15</v>
      </c>
      <c r="K325" s="3">
        <v>382</v>
      </c>
      <c r="L325" s="3">
        <v>382</v>
      </c>
      <c r="M325" t="s">
        <v>28</v>
      </c>
      <c r="N325" t="s">
        <v>37</v>
      </c>
      <c r="O325" s="3">
        <v>35</v>
      </c>
      <c r="P325" t="s">
        <v>30</v>
      </c>
      <c r="Q325" s="3">
        <v>18.829999999999998</v>
      </c>
      <c r="R325" s="3">
        <v>165.39</v>
      </c>
      <c r="S325" s="3">
        <v>162.78</v>
      </c>
      <c r="T325" s="3">
        <v>382</v>
      </c>
      <c r="U325" s="3">
        <v>1</v>
      </c>
      <c r="V325" t="s">
        <v>57</v>
      </c>
    </row>
    <row r="326" spans="1:22" x14ac:dyDescent="0.3">
      <c r="A326" t="s">
        <v>410</v>
      </c>
      <c r="B326" s="1">
        <v>46261</v>
      </c>
      <c r="C326" t="s">
        <v>67</v>
      </c>
      <c r="D326" t="s">
        <v>93</v>
      </c>
      <c r="E326" t="s">
        <v>47</v>
      </c>
      <c r="F326" t="s">
        <v>35</v>
      </c>
      <c r="G326" t="s">
        <v>36</v>
      </c>
      <c r="H326">
        <v>1</v>
      </c>
      <c r="I326" s="3">
        <v>699</v>
      </c>
      <c r="J326" s="4">
        <v>10</v>
      </c>
      <c r="K326" s="3">
        <v>629</v>
      </c>
      <c r="L326" s="3">
        <v>629</v>
      </c>
      <c r="M326" t="s">
        <v>28</v>
      </c>
      <c r="N326" t="s">
        <v>37</v>
      </c>
      <c r="O326" s="3">
        <v>45</v>
      </c>
      <c r="P326" t="s">
        <v>30</v>
      </c>
      <c r="Q326" s="3">
        <v>47.76</v>
      </c>
      <c r="R326" s="3">
        <v>313.04000000000002</v>
      </c>
      <c r="S326" s="3">
        <v>223.2</v>
      </c>
      <c r="T326" s="3">
        <v>629</v>
      </c>
      <c r="U326" s="3">
        <v>35</v>
      </c>
      <c r="V326" t="s">
        <v>71</v>
      </c>
    </row>
    <row r="327" spans="1:22" x14ac:dyDescent="0.3">
      <c r="A327" t="s">
        <v>411</v>
      </c>
      <c r="B327" s="1">
        <v>46118</v>
      </c>
      <c r="C327" t="s">
        <v>23</v>
      </c>
      <c r="D327" t="s">
        <v>40</v>
      </c>
      <c r="E327" t="s">
        <v>41</v>
      </c>
      <c r="F327" t="s">
        <v>79</v>
      </c>
      <c r="G327" t="s">
        <v>80</v>
      </c>
      <c r="H327">
        <v>1</v>
      </c>
      <c r="I327" s="3">
        <v>449</v>
      </c>
      <c r="J327" s="4">
        <v>20</v>
      </c>
      <c r="K327" s="3">
        <v>359</v>
      </c>
      <c r="L327" s="3">
        <v>359</v>
      </c>
      <c r="M327" t="s">
        <v>28</v>
      </c>
      <c r="N327" t="s">
        <v>37</v>
      </c>
      <c r="O327" s="3">
        <v>65</v>
      </c>
      <c r="P327" t="s">
        <v>30</v>
      </c>
      <c r="Q327" s="3">
        <v>23.22</v>
      </c>
      <c r="R327" s="3">
        <v>156.38</v>
      </c>
      <c r="S327" s="3">
        <v>114.4</v>
      </c>
      <c r="T327" s="3">
        <v>359</v>
      </c>
      <c r="U327" s="3">
        <v>15</v>
      </c>
      <c r="V327" t="s">
        <v>31</v>
      </c>
    </row>
    <row r="328" spans="1:22" x14ac:dyDescent="0.3">
      <c r="A328" t="s">
        <v>412</v>
      </c>
      <c r="B328" s="1">
        <v>46148</v>
      </c>
      <c r="C328" t="s">
        <v>62</v>
      </c>
      <c r="D328" t="s">
        <v>24</v>
      </c>
      <c r="E328" t="s">
        <v>25</v>
      </c>
      <c r="F328" t="s">
        <v>79</v>
      </c>
      <c r="G328" t="s">
        <v>80</v>
      </c>
      <c r="H328">
        <v>1</v>
      </c>
      <c r="I328" s="3">
        <v>349</v>
      </c>
      <c r="J328" s="4">
        <v>15</v>
      </c>
      <c r="K328" s="3">
        <v>297</v>
      </c>
      <c r="L328" s="3">
        <v>297</v>
      </c>
      <c r="M328" t="s">
        <v>28</v>
      </c>
      <c r="N328" t="s">
        <v>37</v>
      </c>
      <c r="O328" s="3">
        <v>65</v>
      </c>
      <c r="P328" t="s">
        <v>30</v>
      </c>
      <c r="Q328" s="3">
        <v>17.68</v>
      </c>
      <c r="R328" s="3">
        <v>127.18</v>
      </c>
      <c r="S328" s="3">
        <v>87.14</v>
      </c>
      <c r="T328" s="3">
        <v>297</v>
      </c>
      <c r="U328" s="3">
        <v>19</v>
      </c>
      <c r="V328" t="s">
        <v>65</v>
      </c>
    </row>
    <row r="329" spans="1:22" x14ac:dyDescent="0.3">
      <c r="A329" t="s">
        <v>413</v>
      </c>
      <c r="B329" s="1">
        <v>46140</v>
      </c>
      <c r="C329" t="s">
        <v>23</v>
      </c>
      <c r="D329" t="s">
        <v>24</v>
      </c>
      <c r="E329" t="s">
        <v>25</v>
      </c>
      <c r="F329" t="s">
        <v>48</v>
      </c>
      <c r="G329" t="s">
        <v>49</v>
      </c>
      <c r="H329">
        <v>1</v>
      </c>
      <c r="I329" s="3">
        <v>349</v>
      </c>
      <c r="J329" s="4">
        <v>15</v>
      </c>
      <c r="K329" s="3">
        <v>297</v>
      </c>
      <c r="L329" s="3">
        <v>297</v>
      </c>
      <c r="M329" t="s">
        <v>28</v>
      </c>
      <c r="N329" t="s">
        <v>29</v>
      </c>
      <c r="O329" s="3">
        <v>45</v>
      </c>
      <c r="P329" t="s">
        <v>30</v>
      </c>
      <c r="Q329" s="3">
        <v>20.49</v>
      </c>
      <c r="R329" s="3">
        <v>141.80000000000001</v>
      </c>
      <c r="S329" s="3">
        <v>89.71</v>
      </c>
      <c r="T329" s="3">
        <v>297</v>
      </c>
      <c r="U329" s="3">
        <v>18</v>
      </c>
      <c r="V329" t="s">
        <v>31</v>
      </c>
    </row>
    <row r="330" spans="1:22" x14ac:dyDescent="0.3">
      <c r="A330" t="s">
        <v>414</v>
      </c>
      <c r="B330" s="1">
        <v>46070</v>
      </c>
      <c r="C330" t="s">
        <v>95</v>
      </c>
      <c r="D330" t="s">
        <v>40</v>
      </c>
      <c r="E330" t="s">
        <v>41</v>
      </c>
      <c r="F330" t="s">
        <v>42</v>
      </c>
      <c r="G330" t="s">
        <v>27</v>
      </c>
      <c r="H330">
        <v>2</v>
      </c>
      <c r="I330" s="3">
        <v>449</v>
      </c>
      <c r="J330" s="4">
        <v>15</v>
      </c>
      <c r="K330" s="3">
        <v>382</v>
      </c>
      <c r="L330" s="3">
        <v>764</v>
      </c>
      <c r="M330" t="s">
        <v>28</v>
      </c>
      <c r="N330" t="s">
        <v>29</v>
      </c>
      <c r="O330" s="3">
        <v>55</v>
      </c>
      <c r="P330" t="s">
        <v>30</v>
      </c>
      <c r="Q330" s="3">
        <v>47.75</v>
      </c>
      <c r="R330" s="3">
        <v>379.34</v>
      </c>
      <c r="S330" s="3">
        <v>281.91000000000003</v>
      </c>
      <c r="T330" s="3">
        <v>382</v>
      </c>
      <c r="U330" s="3">
        <v>8</v>
      </c>
      <c r="V330" t="s">
        <v>96</v>
      </c>
    </row>
    <row r="331" spans="1:22" x14ac:dyDescent="0.3">
      <c r="A331" t="s">
        <v>415</v>
      </c>
      <c r="B331" s="1">
        <v>46111</v>
      </c>
      <c r="C331" t="s">
        <v>39</v>
      </c>
      <c r="D331" t="s">
        <v>24</v>
      </c>
      <c r="E331" t="s">
        <v>25</v>
      </c>
      <c r="F331" t="s">
        <v>100</v>
      </c>
      <c r="G331" t="s">
        <v>101</v>
      </c>
      <c r="H331">
        <v>1</v>
      </c>
      <c r="I331" s="3">
        <v>349</v>
      </c>
      <c r="J331" s="4">
        <v>30</v>
      </c>
      <c r="K331" s="3">
        <v>244</v>
      </c>
      <c r="L331" s="3">
        <v>244</v>
      </c>
      <c r="M331" t="s">
        <v>28</v>
      </c>
      <c r="N331" t="s">
        <v>37</v>
      </c>
      <c r="O331" s="3">
        <v>65</v>
      </c>
      <c r="P331" t="s">
        <v>30</v>
      </c>
      <c r="Q331" s="3">
        <v>16.47</v>
      </c>
      <c r="R331" s="3">
        <v>118.54</v>
      </c>
      <c r="S331" s="3">
        <v>43.99</v>
      </c>
      <c r="T331" s="3">
        <v>244</v>
      </c>
      <c r="U331" s="3">
        <v>14</v>
      </c>
      <c r="V331" t="s">
        <v>43</v>
      </c>
    </row>
    <row r="332" spans="1:22" x14ac:dyDescent="0.3">
      <c r="A332" t="s">
        <v>416</v>
      </c>
      <c r="B332" s="1">
        <v>46259</v>
      </c>
      <c r="C332" t="s">
        <v>67</v>
      </c>
      <c r="D332" t="s">
        <v>46</v>
      </c>
      <c r="E332" t="s">
        <v>47</v>
      </c>
      <c r="F332" t="s">
        <v>55</v>
      </c>
      <c r="G332" t="s">
        <v>56</v>
      </c>
      <c r="H332">
        <v>1</v>
      </c>
      <c r="I332" s="3">
        <v>899</v>
      </c>
      <c r="J332" s="4">
        <v>20</v>
      </c>
      <c r="K332" s="3">
        <v>719</v>
      </c>
      <c r="L332" s="3">
        <v>719</v>
      </c>
      <c r="M332" t="s">
        <v>28</v>
      </c>
      <c r="N332" t="s">
        <v>37</v>
      </c>
      <c r="O332" s="3">
        <v>65</v>
      </c>
      <c r="P332" t="s">
        <v>30</v>
      </c>
      <c r="Q332" s="3">
        <v>34.409999999999997</v>
      </c>
      <c r="R332" s="3">
        <v>370.39</v>
      </c>
      <c r="S332" s="3">
        <v>249.2</v>
      </c>
      <c r="T332" s="3">
        <v>719</v>
      </c>
      <c r="U332" s="3">
        <v>35</v>
      </c>
      <c r="V332" t="s">
        <v>71</v>
      </c>
    </row>
    <row r="333" spans="1:22" x14ac:dyDescent="0.3">
      <c r="A333" t="s">
        <v>417</v>
      </c>
      <c r="B333" s="1">
        <v>46211</v>
      </c>
      <c r="C333" t="s">
        <v>45</v>
      </c>
      <c r="D333" t="s">
        <v>74</v>
      </c>
      <c r="E333" t="s">
        <v>75</v>
      </c>
      <c r="F333" t="s">
        <v>48</v>
      </c>
      <c r="G333" t="s">
        <v>49</v>
      </c>
      <c r="H333">
        <v>1</v>
      </c>
      <c r="I333" s="3">
        <v>549</v>
      </c>
      <c r="J333" s="4">
        <v>35</v>
      </c>
      <c r="K333" s="3">
        <v>357</v>
      </c>
      <c r="L333" s="3">
        <v>357</v>
      </c>
      <c r="M333" t="s">
        <v>28</v>
      </c>
      <c r="N333" t="s">
        <v>29</v>
      </c>
      <c r="O333" s="3">
        <v>65</v>
      </c>
      <c r="P333" t="s">
        <v>30</v>
      </c>
      <c r="Q333" s="3">
        <v>22.17</v>
      </c>
      <c r="R333" s="3">
        <v>163.22999999999999</v>
      </c>
      <c r="S333" s="3">
        <v>106.6</v>
      </c>
      <c r="T333" s="3">
        <v>357</v>
      </c>
      <c r="U333" s="3">
        <v>28</v>
      </c>
      <c r="V333" t="s">
        <v>50</v>
      </c>
    </row>
    <row r="334" spans="1:22" x14ac:dyDescent="0.3">
      <c r="A334" t="s">
        <v>418</v>
      </c>
      <c r="B334" s="1">
        <v>46214</v>
      </c>
      <c r="C334" t="s">
        <v>45</v>
      </c>
      <c r="D334" t="s">
        <v>112</v>
      </c>
      <c r="E334" t="s">
        <v>47</v>
      </c>
      <c r="F334" t="s">
        <v>109</v>
      </c>
      <c r="G334" t="s">
        <v>110</v>
      </c>
      <c r="H334">
        <v>2</v>
      </c>
      <c r="I334" s="3">
        <v>299</v>
      </c>
      <c r="J334" s="4">
        <v>10</v>
      </c>
      <c r="K334" s="3">
        <v>269</v>
      </c>
      <c r="L334" s="3">
        <v>538</v>
      </c>
      <c r="M334" t="s">
        <v>64</v>
      </c>
      <c r="N334" t="s">
        <v>37</v>
      </c>
      <c r="O334" s="3">
        <v>55</v>
      </c>
      <c r="P334" t="s">
        <v>30</v>
      </c>
      <c r="Q334" s="3">
        <v>25.45</v>
      </c>
      <c r="R334" s="3">
        <v>270.38</v>
      </c>
      <c r="S334" s="3">
        <v>187.17</v>
      </c>
      <c r="T334" s="3">
        <v>269</v>
      </c>
      <c r="U334" s="3">
        <v>28</v>
      </c>
      <c r="V334" t="s">
        <v>50</v>
      </c>
    </row>
    <row r="335" spans="1:22" x14ac:dyDescent="0.3">
      <c r="A335" t="s">
        <v>419</v>
      </c>
      <c r="B335" s="1">
        <v>46091</v>
      </c>
      <c r="C335" t="s">
        <v>39</v>
      </c>
      <c r="D335" t="s">
        <v>112</v>
      </c>
      <c r="E335" t="s">
        <v>47</v>
      </c>
      <c r="F335" t="s">
        <v>79</v>
      </c>
      <c r="G335" t="s">
        <v>80</v>
      </c>
      <c r="H335">
        <v>1</v>
      </c>
      <c r="I335" s="3">
        <v>299</v>
      </c>
      <c r="J335" s="4">
        <v>20</v>
      </c>
      <c r="K335" s="3">
        <v>239</v>
      </c>
      <c r="L335" s="3">
        <v>239</v>
      </c>
      <c r="M335" t="s">
        <v>76</v>
      </c>
      <c r="N335" t="s">
        <v>37</v>
      </c>
      <c r="O335" s="3">
        <v>65</v>
      </c>
      <c r="P335" t="s">
        <v>30</v>
      </c>
      <c r="Q335" s="3">
        <v>17.190000000000001</v>
      </c>
      <c r="R335" s="3">
        <v>109.16</v>
      </c>
      <c r="S335" s="3">
        <v>47.65</v>
      </c>
      <c r="T335" s="3">
        <v>239</v>
      </c>
      <c r="U335" s="3">
        <v>11</v>
      </c>
      <c r="V335" t="s">
        <v>43</v>
      </c>
    </row>
    <row r="336" spans="1:22" x14ac:dyDescent="0.3">
      <c r="A336" t="s">
        <v>420</v>
      </c>
      <c r="B336" s="1">
        <v>46269</v>
      </c>
      <c r="C336" t="s">
        <v>86</v>
      </c>
      <c r="D336" t="s">
        <v>93</v>
      </c>
      <c r="E336" t="s">
        <v>47</v>
      </c>
      <c r="F336" t="s">
        <v>100</v>
      </c>
      <c r="G336" t="s">
        <v>101</v>
      </c>
      <c r="H336">
        <v>1</v>
      </c>
      <c r="I336" s="3">
        <v>699</v>
      </c>
      <c r="J336" s="4">
        <v>25</v>
      </c>
      <c r="K336" s="3">
        <v>524</v>
      </c>
      <c r="L336" s="3">
        <v>524</v>
      </c>
      <c r="M336" t="s">
        <v>28</v>
      </c>
      <c r="N336" t="s">
        <v>29</v>
      </c>
      <c r="O336" s="3">
        <v>45</v>
      </c>
      <c r="P336" t="s">
        <v>30</v>
      </c>
      <c r="Q336" s="3">
        <v>31.86</v>
      </c>
      <c r="R336" s="3">
        <v>247.43</v>
      </c>
      <c r="S336" s="3">
        <v>199.71</v>
      </c>
      <c r="T336" s="3">
        <v>524</v>
      </c>
      <c r="U336" s="3">
        <v>36</v>
      </c>
      <c r="V336" t="s">
        <v>87</v>
      </c>
    </row>
    <row r="337" spans="1:22" x14ac:dyDescent="0.3">
      <c r="A337" t="s">
        <v>421</v>
      </c>
      <c r="B337" s="1">
        <v>46098</v>
      </c>
      <c r="C337" t="s">
        <v>39</v>
      </c>
      <c r="D337" t="s">
        <v>130</v>
      </c>
      <c r="E337" t="s">
        <v>54</v>
      </c>
      <c r="F337" t="s">
        <v>68</v>
      </c>
      <c r="G337" t="s">
        <v>27</v>
      </c>
      <c r="H337">
        <v>2</v>
      </c>
      <c r="I337" s="3">
        <v>699</v>
      </c>
      <c r="J337" s="4">
        <v>25</v>
      </c>
      <c r="K337" s="3">
        <v>524</v>
      </c>
      <c r="L337" s="3">
        <v>1048</v>
      </c>
      <c r="M337" t="s">
        <v>76</v>
      </c>
      <c r="N337" t="s">
        <v>37</v>
      </c>
      <c r="O337" s="3">
        <v>45</v>
      </c>
      <c r="P337" t="s">
        <v>30</v>
      </c>
      <c r="Q337" s="3">
        <v>53.04</v>
      </c>
      <c r="R337" s="3">
        <v>498.25</v>
      </c>
      <c r="S337" s="3">
        <v>451.71</v>
      </c>
      <c r="T337" s="3">
        <v>524</v>
      </c>
      <c r="U337" s="3">
        <v>12</v>
      </c>
      <c r="V337" t="s">
        <v>43</v>
      </c>
    </row>
    <row r="338" spans="1:22" x14ac:dyDescent="0.3">
      <c r="A338" t="s">
        <v>422</v>
      </c>
      <c r="B338" s="1">
        <v>46176</v>
      </c>
      <c r="C338" t="s">
        <v>78</v>
      </c>
      <c r="D338" t="s">
        <v>40</v>
      </c>
      <c r="E338" t="s">
        <v>41</v>
      </c>
      <c r="F338" t="s">
        <v>68</v>
      </c>
      <c r="G338" t="s">
        <v>27</v>
      </c>
      <c r="H338">
        <v>1</v>
      </c>
      <c r="I338" s="3">
        <v>449</v>
      </c>
      <c r="J338" s="4">
        <v>40</v>
      </c>
      <c r="K338" s="3">
        <v>269</v>
      </c>
      <c r="L338" s="3">
        <v>269</v>
      </c>
      <c r="M338" t="s">
        <v>69</v>
      </c>
      <c r="N338" t="s">
        <v>29</v>
      </c>
      <c r="O338" s="3">
        <v>65</v>
      </c>
      <c r="P338" t="s">
        <v>70</v>
      </c>
      <c r="Q338" s="3">
        <v>12.99</v>
      </c>
      <c r="R338" s="3">
        <v>119.39</v>
      </c>
      <c r="S338" s="3">
        <v>71.62</v>
      </c>
      <c r="T338" s="3">
        <v>269</v>
      </c>
      <c r="U338" s="3">
        <v>23</v>
      </c>
      <c r="V338" t="s">
        <v>81</v>
      </c>
    </row>
    <row r="339" spans="1:22" x14ac:dyDescent="0.3">
      <c r="A339" t="s">
        <v>423</v>
      </c>
      <c r="B339" s="1">
        <v>46166</v>
      </c>
      <c r="C339" t="s">
        <v>62</v>
      </c>
      <c r="D339" t="s">
        <v>115</v>
      </c>
      <c r="E339" t="s">
        <v>116</v>
      </c>
      <c r="F339" t="s">
        <v>100</v>
      </c>
      <c r="G339" t="s">
        <v>101</v>
      </c>
      <c r="H339">
        <v>1</v>
      </c>
      <c r="I339" s="3">
        <v>249</v>
      </c>
      <c r="J339" s="4">
        <v>30</v>
      </c>
      <c r="K339" s="3">
        <v>174</v>
      </c>
      <c r="L339" s="3">
        <v>174</v>
      </c>
      <c r="M339" t="s">
        <v>28</v>
      </c>
      <c r="N339" t="s">
        <v>29</v>
      </c>
      <c r="O339" s="3">
        <v>45</v>
      </c>
      <c r="P339" t="s">
        <v>30</v>
      </c>
      <c r="Q339" s="3">
        <v>12.25</v>
      </c>
      <c r="R339" s="3">
        <v>82</v>
      </c>
      <c r="S339" s="3">
        <v>34.75</v>
      </c>
      <c r="T339" s="3">
        <v>174</v>
      </c>
      <c r="U339" s="3">
        <v>21</v>
      </c>
      <c r="V339" t="s">
        <v>65</v>
      </c>
    </row>
    <row r="340" spans="1:22" x14ac:dyDescent="0.3">
      <c r="A340" t="s">
        <v>424</v>
      </c>
      <c r="B340" s="1">
        <v>46108</v>
      </c>
      <c r="C340" t="s">
        <v>39</v>
      </c>
      <c r="D340" t="s">
        <v>46</v>
      </c>
      <c r="E340" t="s">
        <v>47</v>
      </c>
      <c r="F340" t="s">
        <v>26</v>
      </c>
      <c r="G340" t="s">
        <v>27</v>
      </c>
      <c r="H340">
        <v>1</v>
      </c>
      <c r="I340" s="3">
        <v>899</v>
      </c>
      <c r="J340" s="4">
        <v>5</v>
      </c>
      <c r="K340" s="3">
        <v>854</v>
      </c>
      <c r="L340" s="3">
        <v>854</v>
      </c>
      <c r="M340" t="s">
        <v>28</v>
      </c>
      <c r="N340" t="s">
        <v>29</v>
      </c>
      <c r="O340" s="3">
        <v>55</v>
      </c>
      <c r="P340" t="s">
        <v>30</v>
      </c>
      <c r="Q340" s="3">
        <v>56.25</v>
      </c>
      <c r="R340" s="3">
        <v>378.04</v>
      </c>
      <c r="S340" s="3">
        <v>364.71</v>
      </c>
      <c r="T340" s="3">
        <v>854</v>
      </c>
      <c r="U340" s="3">
        <v>13</v>
      </c>
      <c r="V340" t="s">
        <v>43</v>
      </c>
    </row>
    <row r="341" spans="1:22" x14ac:dyDescent="0.3">
      <c r="A341" t="s">
        <v>425</v>
      </c>
      <c r="B341" s="1">
        <v>46207</v>
      </c>
      <c r="C341" t="s">
        <v>45</v>
      </c>
      <c r="D341" t="s">
        <v>130</v>
      </c>
      <c r="E341" t="s">
        <v>54</v>
      </c>
      <c r="F341" t="s">
        <v>68</v>
      </c>
      <c r="G341" t="s">
        <v>27</v>
      </c>
      <c r="H341">
        <v>2</v>
      </c>
      <c r="I341" s="3">
        <v>699</v>
      </c>
      <c r="J341" s="4">
        <v>10</v>
      </c>
      <c r="K341" s="3">
        <v>629</v>
      </c>
      <c r="L341" s="3">
        <v>1258</v>
      </c>
      <c r="M341" t="s">
        <v>28</v>
      </c>
      <c r="N341" t="s">
        <v>29</v>
      </c>
      <c r="O341" s="3">
        <v>45</v>
      </c>
      <c r="P341" t="s">
        <v>30</v>
      </c>
      <c r="Q341" s="3">
        <v>78.05</v>
      </c>
      <c r="R341" s="3">
        <v>583.48</v>
      </c>
      <c r="S341" s="3">
        <v>551.47</v>
      </c>
      <c r="T341" s="3">
        <v>629</v>
      </c>
      <c r="U341" s="3">
        <v>27</v>
      </c>
      <c r="V341" t="s">
        <v>50</v>
      </c>
    </row>
    <row r="342" spans="1:22" x14ac:dyDescent="0.3">
      <c r="A342" t="s">
        <v>426</v>
      </c>
      <c r="B342" s="1">
        <v>46242</v>
      </c>
      <c r="C342" t="s">
        <v>67</v>
      </c>
      <c r="D342" t="s">
        <v>93</v>
      </c>
      <c r="E342" t="s">
        <v>47</v>
      </c>
      <c r="F342" t="s">
        <v>84</v>
      </c>
      <c r="G342" t="s">
        <v>84</v>
      </c>
      <c r="H342">
        <v>2</v>
      </c>
      <c r="I342" s="3">
        <v>699</v>
      </c>
      <c r="J342" s="4">
        <v>15</v>
      </c>
      <c r="K342" s="3">
        <v>594</v>
      </c>
      <c r="L342" s="3">
        <v>1188</v>
      </c>
      <c r="M342" t="s">
        <v>28</v>
      </c>
      <c r="N342" t="s">
        <v>29</v>
      </c>
      <c r="O342" s="3">
        <v>65</v>
      </c>
      <c r="P342" t="s">
        <v>30</v>
      </c>
      <c r="Q342" s="3">
        <v>81.95</v>
      </c>
      <c r="R342" s="3">
        <v>512.22</v>
      </c>
      <c r="S342" s="3">
        <v>528.83000000000004</v>
      </c>
      <c r="T342" s="3">
        <v>594</v>
      </c>
      <c r="U342" s="3">
        <v>32</v>
      </c>
      <c r="V342" t="s">
        <v>71</v>
      </c>
    </row>
    <row r="343" spans="1:22" x14ac:dyDescent="0.3">
      <c r="A343" t="s">
        <v>427</v>
      </c>
      <c r="B343" s="1">
        <v>46091</v>
      </c>
      <c r="C343" t="s">
        <v>39</v>
      </c>
      <c r="D343" t="s">
        <v>40</v>
      </c>
      <c r="E343" t="s">
        <v>41</v>
      </c>
      <c r="F343" t="s">
        <v>42</v>
      </c>
      <c r="G343" t="s">
        <v>27</v>
      </c>
      <c r="H343">
        <v>1</v>
      </c>
      <c r="I343" s="3">
        <v>449</v>
      </c>
      <c r="J343" s="4">
        <v>15</v>
      </c>
      <c r="K343" s="3">
        <v>382</v>
      </c>
      <c r="L343" s="3">
        <v>382</v>
      </c>
      <c r="M343" t="s">
        <v>28</v>
      </c>
      <c r="N343" t="s">
        <v>37</v>
      </c>
      <c r="O343" s="3">
        <v>55</v>
      </c>
      <c r="P343" t="s">
        <v>30</v>
      </c>
      <c r="Q343" s="3">
        <v>17.2</v>
      </c>
      <c r="R343" s="3">
        <v>189.96</v>
      </c>
      <c r="S343" s="3">
        <v>119.84</v>
      </c>
      <c r="T343" s="3">
        <v>382</v>
      </c>
      <c r="U343" s="3">
        <v>11</v>
      </c>
      <c r="V343" t="s">
        <v>43</v>
      </c>
    </row>
    <row r="344" spans="1:22" x14ac:dyDescent="0.3">
      <c r="A344" t="s">
        <v>428</v>
      </c>
      <c r="B344" s="1">
        <v>46069</v>
      </c>
      <c r="C344" t="s">
        <v>95</v>
      </c>
      <c r="D344" t="s">
        <v>63</v>
      </c>
      <c r="E344" t="s">
        <v>47</v>
      </c>
      <c r="F344" t="s">
        <v>100</v>
      </c>
      <c r="G344" t="s">
        <v>101</v>
      </c>
      <c r="H344">
        <v>2</v>
      </c>
      <c r="I344" s="3">
        <v>399</v>
      </c>
      <c r="J344" s="4">
        <v>35</v>
      </c>
      <c r="K344" s="3">
        <v>259</v>
      </c>
      <c r="L344" s="3">
        <v>518</v>
      </c>
      <c r="M344" t="s">
        <v>28</v>
      </c>
      <c r="N344" t="s">
        <v>37</v>
      </c>
      <c r="O344" s="3">
        <v>45</v>
      </c>
      <c r="P344" t="s">
        <v>30</v>
      </c>
      <c r="Q344" s="3">
        <v>21.12</v>
      </c>
      <c r="R344" s="3">
        <v>260.39</v>
      </c>
      <c r="S344" s="3">
        <v>191.49</v>
      </c>
      <c r="T344" s="3">
        <v>259</v>
      </c>
      <c r="U344" s="3">
        <v>8</v>
      </c>
      <c r="V344" t="s">
        <v>96</v>
      </c>
    </row>
    <row r="345" spans="1:22" x14ac:dyDescent="0.3">
      <c r="A345" t="s">
        <v>429</v>
      </c>
      <c r="B345" s="1">
        <v>46116</v>
      </c>
      <c r="C345" t="s">
        <v>23</v>
      </c>
      <c r="D345" t="s">
        <v>53</v>
      </c>
      <c r="E345" t="s">
        <v>54</v>
      </c>
      <c r="F345" t="s">
        <v>42</v>
      </c>
      <c r="G345" t="s">
        <v>27</v>
      </c>
      <c r="H345">
        <v>1</v>
      </c>
      <c r="I345" s="3">
        <v>499</v>
      </c>
      <c r="J345" s="4">
        <v>15</v>
      </c>
      <c r="K345" s="3">
        <v>424</v>
      </c>
      <c r="L345" s="3">
        <v>424</v>
      </c>
      <c r="M345" t="s">
        <v>28</v>
      </c>
      <c r="N345" t="s">
        <v>29</v>
      </c>
      <c r="O345" s="3">
        <v>55</v>
      </c>
      <c r="P345" t="s">
        <v>30</v>
      </c>
      <c r="Q345" s="3">
        <v>21.94</v>
      </c>
      <c r="R345" s="3">
        <v>179.84</v>
      </c>
      <c r="S345" s="3">
        <v>167.22</v>
      </c>
      <c r="T345" s="3">
        <v>424</v>
      </c>
      <c r="U345" s="3">
        <v>14</v>
      </c>
      <c r="V345" t="s">
        <v>31</v>
      </c>
    </row>
    <row r="346" spans="1:22" x14ac:dyDescent="0.3">
      <c r="A346" t="s">
        <v>430</v>
      </c>
      <c r="B346" s="1">
        <v>46260</v>
      </c>
      <c r="C346" t="s">
        <v>67</v>
      </c>
      <c r="D346" t="s">
        <v>33</v>
      </c>
      <c r="E346" t="s">
        <v>34</v>
      </c>
      <c r="F346" t="s">
        <v>42</v>
      </c>
      <c r="G346" t="s">
        <v>27</v>
      </c>
      <c r="H346">
        <v>1</v>
      </c>
      <c r="I346" s="3">
        <v>599</v>
      </c>
      <c r="J346" s="4">
        <v>15</v>
      </c>
      <c r="K346" s="3">
        <v>509</v>
      </c>
      <c r="L346" s="3">
        <v>509</v>
      </c>
      <c r="M346" t="s">
        <v>28</v>
      </c>
      <c r="N346" t="s">
        <v>29</v>
      </c>
      <c r="O346" s="3">
        <v>45</v>
      </c>
      <c r="P346" t="s">
        <v>30</v>
      </c>
      <c r="Q346" s="3">
        <v>39.64</v>
      </c>
      <c r="R346" s="3">
        <v>258.82</v>
      </c>
      <c r="S346" s="3">
        <v>165.54</v>
      </c>
      <c r="T346" s="3">
        <v>509</v>
      </c>
      <c r="U346" s="3">
        <v>35</v>
      </c>
      <c r="V346" t="s">
        <v>71</v>
      </c>
    </row>
    <row r="347" spans="1:22" x14ac:dyDescent="0.3">
      <c r="A347" t="s">
        <v>431</v>
      </c>
      <c r="B347" s="1">
        <v>46226</v>
      </c>
      <c r="C347" t="s">
        <v>45</v>
      </c>
      <c r="D347" t="s">
        <v>24</v>
      </c>
      <c r="E347" t="s">
        <v>25</v>
      </c>
      <c r="F347" t="s">
        <v>42</v>
      </c>
      <c r="G347" t="s">
        <v>27</v>
      </c>
      <c r="H347">
        <v>1</v>
      </c>
      <c r="I347" s="3">
        <v>349</v>
      </c>
      <c r="J347" s="4">
        <v>40</v>
      </c>
      <c r="K347" s="3">
        <v>209</v>
      </c>
      <c r="L347" s="3">
        <v>209</v>
      </c>
      <c r="M347" t="s">
        <v>28</v>
      </c>
      <c r="N347" t="s">
        <v>37</v>
      </c>
      <c r="O347" s="3">
        <v>65</v>
      </c>
      <c r="P347" t="s">
        <v>30</v>
      </c>
      <c r="Q347" s="3">
        <v>12.9</v>
      </c>
      <c r="R347" s="3">
        <v>95.03</v>
      </c>
      <c r="S347" s="3">
        <v>36.07</v>
      </c>
      <c r="T347" s="3">
        <v>209</v>
      </c>
      <c r="U347" s="3">
        <v>30</v>
      </c>
      <c r="V347" t="s">
        <v>50</v>
      </c>
    </row>
    <row r="348" spans="1:22" x14ac:dyDescent="0.3">
      <c r="A348" t="s">
        <v>432</v>
      </c>
      <c r="B348" s="1">
        <v>46240</v>
      </c>
      <c r="C348" t="s">
        <v>67</v>
      </c>
      <c r="D348" t="s">
        <v>74</v>
      </c>
      <c r="E348" t="s">
        <v>75</v>
      </c>
      <c r="F348" t="s">
        <v>68</v>
      </c>
      <c r="G348" t="s">
        <v>27</v>
      </c>
      <c r="H348">
        <v>1</v>
      </c>
      <c r="I348" s="3">
        <v>549</v>
      </c>
      <c r="J348" s="4">
        <v>10</v>
      </c>
      <c r="K348" s="3">
        <v>494</v>
      </c>
      <c r="L348" s="3">
        <v>494</v>
      </c>
      <c r="M348" t="s">
        <v>28</v>
      </c>
      <c r="N348" t="s">
        <v>29</v>
      </c>
      <c r="O348" s="3">
        <v>65</v>
      </c>
      <c r="P348" t="s">
        <v>30</v>
      </c>
      <c r="Q348" s="3">
        <v>24.92</v>
      </c>
      <c r="R348" s="3">
        <v>224.44</v>
      </c>
      <c r="S348" s="3">
        <v>179.64</v>
      </c>
      <c r="T348" s="3">
        <v>494</v>
      </c>
      <c r="U348" s="3">
        <v>32</v>
      </c>
      <c r="V348" t="s">
        <v>71</v>
      </c>
    </row>
    <row r="349" spans="1:22" x14ac:dyDescent="0.3">
      <c r="A349" t="s">
        <v>433</v>
      </c>
      <c r="B349" s="1">
        <v>46061</v>
      </c>
      <c r="C349" t="s">
        <v>95</v>
      </c>
      <c r="D349" t="s">
        <v>59</v>
      </c>
      <c r="E349" t="s">
        <v>60</v>
      </c>
      <c r="F349" t="s">
        <v>79</v>
      </c>
      <c r="G349" t="s">
        <v>80</v>
      </c>
      <c r="H349">
        <v>2</v>
      </c>
      <c r="I349" s="3">
        <v>299</v>
      </c>
      <c r="J349" s="4">
        <v>20</v>
      </c>
      <c r="K349" s="3">
        <v>239</v>
      </c>
      <c r="L349" s="3">
        <v>478</v>
      </c>
      <c r="M349" t="s">
        <v>28</v>
      </c>
      <c r="N349" t="s">
        <v>29</v>
      </c>
      <c r="O349" s="3">
        <v>55</v>
      </c>
      <c r="P349" t="s">
        <v>30</v>
      </c>
      <c r="Q349" s="3">
        <v>20.89</v>
      </c>
      <c r="R349" s="3">
        <v>208.54</v>
      </c>
      <c r="S349" s="3">
        <v>193.57</v>
      </c>
      <c r="T349" s="3">
        <v>239</v>
      </c>
      <c r="U349" s="3">
        <v>6</v>
      </c>
      <c r="V349" t="s">
        <v>96</v>
      </c>
    </row>
    <row r="350" spans="1:22" x14ac:dyDescent="0.3">
      <c r="A350" t="s">
        <v>434</v>
      </c>
      <c r="B350" s="1">
        <v>46122</v>
      </c>
      <c r="C350" t="s">
        <v>23</v>
      </c>
      <c r="D350" t="s">
        <v>40</v>
      </c>
      <c r="E350" t="s">
        <v>41</v>
      </c>
      <c r="F350" t="s">
        <v>55</v>
      </c>
      <c r="G350" t="s">
        <v>56</v>
      </c>
      <c r="H350">
        <v>3</v>
      </c>
      <c r="I350" s="3">
        <v>449</v>
      </c>
      <c r="J350" s="4">
        <v>20</v>
      </c>
      <c r="K350" s="3">
        <v>359</v>
      </c>
      <c r="L350" s="3">
        <v>1077</v>
      </c>
      <c r="M350" t="s">
        <v>28</v>
      </c>
      <c r="N350" t="s">
        <v>29</v>
      </c>
      <c r="O350" s="3">
        <v>45</v>
      </c>
      <c r="P350" t="s">
        <v>30</v>
      </c>
      <c r="Q350" s="3">
        <v>43.3</v>
      </c>
      <c r="R350" s="3">
        <v>458.81</v>
      </c>
      <c r="S350" s="3">
        <v>529.89</v>
      </c>
      <c r="T350" s="3">
        <v>359</v>
      </c>
      <c r="U350" s="3">
        <v>15</v>
      </c>
      <c r="V350" t="s">
        <v>31</v>
      </c>
    </row>
    <row r="351" spans="1:22" x14ac:dyDescent="0.3">
      <c r="A351" t="s">
        <v>435</v>
      </c>
      <c r="B351" s="1">
        <v>46276</v>
      </c>
      <c r="C351" t="s">
        <v>86</v>
      </c>
      <c r="D351" t="s">
        <v>130</v>
      </c>
      <c r="E351" t="s">
        <v>54</v>
      </c>
      <c r="F351" t="s">
        <v>79</v>
      </c>
      <c r="G351" t="s">
        <v>80</v>
      </c>
      <c r="H351">
        <v>1</v>
      </c>
      <c r="I351" s="3">
        <v>699</v>
      </c>
      <c r="J351" s="4">
        <v>35</v>
      </c>
      <c r="K351" s="3">
        <v>454</v>
      </c>
      <c r="L351" s="3">
        <v>454</v>
      </c>
      <c r="M351" t="s">
        <v>64</v>
      </c>
      <c r="N351" t="s">
        <v>37</v>
      </c>
      <c r="O351" s="3">
        <v>45</v>
      </c>
      <c r="P351" t="s">
        <v>30</v>
      </c>
      <c r="Q351" s="3">
        <v>35.26</v>
      </c>
      <c r="R351" s="3">
        <v>226.28</v>
      </c>
      <c r="S351" s="3">
        <v>147.46</v>
      </c>
      <c r="T351" s="3">
        <v>454</v>
      </c>
      <c r="U351" s="3">
        <v>37</v>
      </c>
      <c r="V351" t="s">
        <v>87</v>
      </c>
    </row>
    <row r="352" spans="1:22" x14ac:dyDescent="0.3">
      <c r="A352" t="s">
        <v>436</v>
      </c>
      <c r="B352" s="1">
        <v>46244</v>
      </c>
      <c r="C352" t="s">
        <v>67</v>
      </c>
      <c r="D352" t="s">
        <v>53</v>
      </c>
      <c r="E352" t="s">
        <v>54</v>
      </c>
      <c r="F352" t="s">
        <v>100</v>
      </c>
      <c r="G352" t="s">
        <v>101</v>
      </c>
      <c r="H352">
        <v>1</v>
      </c>
      <c r="I352" s="3">
        <v>499</v>
      </c>
      <c r="J352" s="4">
        <v>25</v>
      </c>
      <c r="K352" s="3">
        <v>374</v>
      </c>
      <c r="L352" s="3">
        <v>374</v>
      </c>
      <c r="M352" t="s">
        <v>64</v>
      </c>
      <c r="N352" t="s">
        <v>37</v>
      </c>
      <c r="O352" s="3">
        <v>45</v>
      </c>
      <c r="P352" t="s">
        <v>30</v>
      </c>
      <c r="Q352" s="3">
        <v>28.36</v>
      </c>
      <c r="R352" s="3">
        <v>191.08</v>
      </c>
      <c r="S352" s="3">
        <v>109.56</v>
      </c>
      <c r="T352" s="3">
        <v>374</v>
      </c>
      <c r="U352" s="3">
        <v>33</v>
      </c>
      <c r="V352" t="s">
        <v>71</v>
      </c>
    </row>
    <row r="353" spans="1:22" x14ac:dyDescent="0.3">
      <c r="A353" t="s">
        <v>437</v>
      </c>
      <c r="B353" s="1">
        <v>46045</v>
      </c>
      <c r="C353" t="s">
        <v>52</v>
      </c>
      <c r="D353" t="s">
        <v>115</v>
      </c>
      <c r="E353" t="s">
        <v>116</v>
      </c>
      <c r="F353" t="s">
        <v>42</v>
      </c>
      <c r="G353" t="s">
        <v>27</v>
      </c>
      <c r="H353">
        <v>1</v>
      </c>
      <c r="I353" s="3">
        <v>249</v>
      </c>
      <c r="J353" s="4">
        <v>25</v>
      </c>
      <c r="K353" s="3">
        <v>187</v>
      </c>
      <c r="L353" s="3">
        <v>187</v>
      </c>
      <c r="M353" t="s">
        <v>69</v>
      </c>
      <c r="N353" t="s">
        <v>37</v>
      </c>
      <c r="O353" s="3">
        <v>35</v>
      </c>
      <c r="P353" t="s">
        <v>70</v>
      </c>
      <c r="Q353" s="3">
        <v>10.7</v>
      </c>
      <c r="R353" s="3">
        <v>94.08</v>
      </c>
      <c r="S353" s="3">
        <v>47.22</v>
      </c>
      <c r="T353" s="3">
        <v>187</v>
      </c>
      <c r="U353" s="3">
        <v>4</v>
      </c>
      <c r="V353" t="s">
        <v>57</v>
      </c>
    </row>
    <row r="354" spans="1:22" x14ac:dyDescent="0.3">
      <c r="A354" t="s">
        <v>438</v>
      </c>
      <c r="B354" s="1">
        <v>46272</v>
      </c>
      <c r="C354" t="s">
        <v>86</v>
      </c>
      <c r="D354" t="s">
        <v>93</v>
      </c>
      <c r="E354" t="s">
        <v>47</v>
      </c>
      <c r="F354" t="s">
        <v>35</v>
      </c>
      <c r="G354" t="s">
        <v>36</v>
      </c>
      <c r="H354">
        <v>1</v>
      </c>
      <c r="I354" s="3">
        <v>699</v>
      </c>
      <c r="J354" s="4">
        <v>20</v>
      </c>
      <c r="K354" s="3">
        <v>559</v>
      </c>
      <c r="L354" s="3">
        <v>559</v>
      </c>
      <c r="M354" t="s">
        <v>28</v>
      </c>
      <c r="N354" t="s">
        <v>29</v>
      </c>
      <c r="O354" s="3">
        <v>65</v>
      </c>
      <c r="P354" t="s">
        <v>30</v>
      </c>
      <c r="Q354" s="3">
        <v>38.770000000000003</v>
      </c>
      <c r="R354" s="3">
        <v>270.12</v>
      </c>
      <c r="S354" s="3">
        <v>185.11</v>
      </c>
      <c r="T354" s="3">
        <v>559</v>
      </c>
      <c r="U354" s="3">
        <v>37</v>
      </c>
      <c r="V354" t="s">
        <v>87</v>
      </c>
    </row>
    <row r="355" spans="1:22" x14ac:dyDescent="0.3">
      <c r="A355" t="s">
        <v>439</v>
      </c>
      <c r="B355" s="1">
        <v>46032</v>
      </c>
      <c r="C355" t="s">
        <v>52</v>
      </c>
      <c r="D355" t="s">
        <v>24</v>
      </c>
      <c r="E355" t="s">
        <v>25</v>
      </c>
      <c r="F355" t="s">
        <v>100</v>
      </c>
      <c r="G355" t="s">
        <v>101</v>
      </c>
      <c r="H355">
        <v>1</v>
      </c>
      <c r="I355" s="3">
        <v>349</v>
      </c>
      <c r="J355" s="4">
        <v>5</v>
      </c>
      <c r="K355" s="3">
        <v>332</v>
      </c>
      <c r="L355" s="3">
        <v>332</v>
      </c>
      <c r="M355" t="s">
        <v>28</v>
      </c>
      <c r="N355" t="s">
        <v>29</v>
      </c>
      <c r="O355" s="3">
        <v>55</v>
      </c>
      <c r="P355" t="s">
        <v>30</v>
      </c>
      <c r="Q355" s="3">
        <v>22.03</v>
      </c>
      <c r="R355" s="3">
        <v>170.37</v>
      </c>
      <c r="S355" s="3">
        <v>84.6</v>
      </c>
      <c r="T355" s="3">
        <v>332</v>
      </c>
      <c r="U355" s="3">
        <v>2</v>
      </c>
      <c r="V355" t="s">
        <v>57</v>
      </c>
    </row>
    <row r="356" spans="1:22" x14ac:dyDescent="0.3">
      <c r="A356" t="s">
        <v>440</v>
      </c>
      <c r="B356" s="1">
        <v>46268</v>
      </c>
      <c r="C356" t="s">
        <v>86</v>
      </c>
      <c r="D356" t="s">
        <v>112</v>
      </c>
      <c r="E356" t="s">
        <v>47</v>
      </c>
      <c r="F356" t="s">
        <v>79</v>
      </c>
      <c r="G356" t="s">
        <v>80</v>
      </c>
      <c r="H356">
        <v>1</v>
      </c>
      <c r="I356" s="3">
        <v>299</v>
      </c>
      <c r="J356" s="4">
        <v>35</v>
      </c>
      <c r="K356" s="3">
        <v>194</v>
      </c>
      <c r="L356" s="3">
        <v>194</v>
      </c>
      <c r="M356" t="s">
        <v>28</v>
      </c>
      <c r="N356" t="s">
        <v>37</v>
      </c>
      <c r="O356" s="3">
        <v>35</v>
      </c>
      <c r="P356" t="s">
        <v>30</v>
      </c>
      <c r="Q356" s="3">
        <v>15.08</v>
      </c>
      <c r="R356" s="3">
        <v>83.09</v>
      </c>
      <c r="S356" s="3">
        <v>60.83</v>
      </c>
      <c r="T356" s="3">
        <v>194</v>
      </c>
      <c r="U356" s="3">
        <v>36</v>
      </c>
      <c r="V356" t="s">
        <v>87</v>
      </c>
    </row>
    <row r="357" spans="1:22" x14ac:dyDescent="0.3">
      <c r="A357" t="s">
        <v>441</v>
      </c>
      <c r="B357" s="1">
        <v>46122</v>
      </c>
      <c r="C357" t="s">
        <v>23</v>
      </c>
      <c r="D357" t="s">
        <v>63</v>
      </c>
      <c r="E357" t="s">
        <v>47</v>
      </c>
      <c r="F357" t="s">
        <v>68</v>
      </c>
      <c r="G357" t="s">
        <v>27</v>
      </c>
      <c r="H357">
        <v>1</v>
      </c>
      <c r="I357" s="3">
        <v>399</v>
      </c>
      <c r="J357" s="4">
        <v>20</v>
      </c>
      <c r="K357" s="3">
        <v>319</v>
      </c>
      <c r="L357" s="3">
        <v>319</v>
      </c>
      <c r="M357" t="s">
        <v>28</v>
      </c>
      <c r="N357" t="s">
        <v>29</v>
      </c>
      <c r="O357" s="3">
        <v>35</v>
      </c>
      <c r="P357" t="s">
        <v>30</v>
      </c>
      <c r="Q357" s="3">
        <v>20.23</v>
      </c>
      <c r="R357" s="3">
        <v>141.19999999999999</v>
      </c>
      <c r="S357" s="3">
        <v>122.57</v>
      </c>
      <c r="T357" s="3">
        <v>319</v>
      </c>
      <c r="U357" s="3">
        <v>15</v>
      </c>
      <c r="V357" t="s">
        <v>31</v>
      </c>
    </row>
    <row r="358" spans="1:22" x14ac:dyDescent="0.3">
      <c r="A358" t="s">
        <v>442</v>
      </c>
      <c r="B358" s="1">
        <v>46202</v>
      </c>
      <c r="C358" t="s">
        <v>78</v>
      </c>
      <c r="D358" t="s">
        <v>46</v>
      </c>
      <c r="E358" t="s">
        <v>47</v>
      </c>
      <c r="F358" t="s">
        <v>42</v>
      </c>
      <c r="G358" t="s">
        <v>27</v>
      </c>
      <c r="H358">
        <v>1</v>
      </c>
      <c r="I358" s="3">
        <v>899</v>
      </c>
      <c r="J358" s="4">
        <v>25</v>
      </c>
      <c r="K358" s="3">
        <v>674</v>
      </c>
      <c r="L358" s="3">
        <v>674</v>
      </c>
      <c r="M358" t="s">
        <v>64</v>
      </c>
      <c r="N358" t="s">
        <v>37</v>
      </c>
      <c r="O358" s="3">
        <v>65</v>
      </c>
      <c r="P358" t="s">
        <v>30</v>
      </c>
      <c r="Q358" s="3">
        <v>29.74</v>
      </c>
      <c r="R358" s="3">
        <v>294.70999999999998</v>
      </c>
      <c r="S358" s="3">
        <v>284.55</v>
      </c>
      <c r="T358" s="3">
        <v>674</v>
      </c>
      <c r="U358" s="3">
        <v>27</v>
      </c>
      <c r="V358" t="s">
        <v>81</v>
      </c>
    </row>
    <row r="359" spans="1:22" x14ac:dyDescent="0.3">
      <c r="A359" t="s">
        <v>443</v>
      </c>
      <c r="B359" s="1">
        <v>46245</v>
      </c>
      <c r="C359" t="s">
        <v>67</v>
      </c>
      <c r="D359" t="s">
        <v>112</v>
      </c>
      <c r="E359" t="s">
        <v>47</v>
      </c>
      <c r="F359" t="s">
        <v>68</v>
      </c>
      <c r="G359" t="s">
        <v>27</v>
      </c>
      <c r="H359">
        <v>2</v>
      </c>
      <c r="I359" s="3">
        <v>299</v>
      </c>
      <c r="J359" s="4">
        <v>5</v>
      </c>
      <c r="K359" s="3">
        <v>284</v>
      </c>
      <c r="L359" s="3">
        <v>568</v>
      </c>
      <c r="M359" t="s">
        <v>76</v>
      </c>
      <c r="N359" t="s">
        <v>37</v>
      </c>
      <c r="O359" s="3">
        <v>65</v>
      </c>
      <c r="P359" t="s">
        <v>30</v>
      </c>
      <c r="Q359" s="3">
        <v>30.62</v>
      </c>
      <c r="R359" s="3">
        <v>241.42</v>
      </c>
      <c r="S359" s="3">
        <v>230.96</v>
      </c>
      <c r="T359" s="3">
        <v>284</v>
      </c>
      <c r="U359" s="3">
        <v>33</v>
      </c>
      <c r="V359" t="s">
        <v>71</v>
      </c>
    </row>
    <row r="360" spans="1:22" x14ac:dyDescent="0.3">
      <c r="A360" t="s">
        <v>444</v>
      </c>
      <c r="B360" s="1">
        <v>46272</v>
      </c>
      <c r="C360" t="s">
        <v>86</v>
      </c>
      <c r="D360" t="s">
        <v>59</v>
      </c>
      <c r="E360" t="s">
        <v>60</v>
      </c>
      <c r="F360" t="s">
        <v>42</v>
      </c>
      <c r="G360" t="s">
        <v>27</v>
      </c>
      <c r="H360">
        <v>1</v>
      </c>
      <c r="I360" s="3">
        <v>299</v>
      </c>
      <c r="J360" s="4">
        <v>15</v>
      </c>
      <c r="K360" s="3">
        <v>254</v>
      </c>
      <c r="L360" s="3">
        <v>254</v>
      </c>
      <c r="M360" t="s">
        <v>28</v>
      </c>
      <c r="N360" t="s">
        <v>29</v>
      </c>
      <c r="O360" s="3">
        <v>35</v>
      </c>
      <c r="P360" t="s">
        <v>30</v>
      </c>
      <c r="Q360" s="3">
        <v>11.56</v>
      </c>
      <c r="R360" s="3">
        <v>124.17</v>
      </c>
      <c r="S360" s="3">
        <v>83.27</v>
      </c>
      <c r="T360" s="3">
        <v>254</v>
      </c>
      <c r="U360" s="3">
        <v>37</v>
      </c>
      <c r="V360" t="s">
        <v>87</v>
      </c>
    </row>
    <row r="361" spans="1:22" x14ac:dyDescent="0.3">
      <c r="A361" t="s">
        <v>445</v>
      </c>
      <c r="B361" s="1">
        <v>46169</v>
      </c>
      <c r="C361" t="s">
        <v>62</v>
      </c>
      <c r="D361" t="s">
        <v>93</v>
      </c>
      <c r="E361" t="s">
        <v>47</v>
      </c>
      <c r="F361" t="s">
        <v>109</v>
      </c>
      <c r="G361" t="s">
        <v>110</v>
      </c>
      <c r="H361">
        <v>1</v>
      </c>
      <c r="I361" s="3">
        <v>699</v>
      </c>
      <c r="J361" s="4">
        <v>20</v>
      </c>
      <c r="K361" s="3">
        <v>559</v>
      </c>
      <c r="L361" s="3">
        <v>559</v>
      </c>
      <c r="M361" t="s">
        <v>28</v>
      </c>
      <c r="N361" t="s">
        <v>37</v>
      </c>
      <c r="O361" s="3">
        <v>55</v>
      </c>
      <c r="P361" t="s">
        <v>30</v>
      </c>
      <c r="Q361" s="3">
        <v>23.52</v>
      </c>
      <c r="R361" s="3">
        <v>265.93</v>
      </c>
      <c r="S361" s="3">
        <v>214.55</v>
      </c>
      <c r="T361" s="3">
        <v>559</v>
      </c>
      <c r="U361" s="3">
        <v>22</v>
      </c>
      <c r="V361" t="s">
        <v>65</v>
      </c>
    </row>
    <row r="362" spans="1:22" x14ac:dyDescent="0.3">
      <c r="A362" t="s">
        <v>446</v>
      </c>
      <c r="B362" s="1">
        <v>46118</v>
      </c>
      <c r="C362" t="s">
        <v>23</v>
      </c>
      <c r="D362" t="s">
        <v>112</v>
      </c>
      <c r="E362" t="s">
        <v>47</v>
      </c>
      <c r="F362" t="s">
        <v>42</v>
      </c>
      <c r="G362" t="s">
        <v>27</v>
      </c>
      <c r="H362">
        <v>1</v>
      </c>
      <c r="I362" s="3">
        <v>299</v>
      </c>
      <c r="J362" s="4">
        <v>35</v>
      </c>
      <c r="K362" s="3">
        <v>194</v>
      </c>
      <c r="L362" s="3">
        <v>194</v>
      </c>
      <c r="M362" t="s">
        <v>28</v>
      </c>
      <c r="N362" t="s">
        <v>29</v>
      </c>
      <c r="O362" s="3">
        <v>45</v>
      </c>
      <c r="P362" t="s">
        <v>30</v>
      </c>
      <c r="Q362" s="3">
        <v>10.72</v>
      </c>
      <c r="R362" s="3">
        <v>97.16</v>
      </c>
      <c r="S362" s="3">
        <v>41.12</v>
      </c>
      <c r="T362" s="3">
        <v>194</v>
      </c>
      <c r="U362" s="3">
        <v>15</v>
      </c>
      <c r="V362" t="s">
        <v>31</v>
      </c>
    </row>
    <row r="363" spans="1:22" x14ac:dyDescent="0.3">
      <c r="A363" t="s">
        <v>447</v>
      </c>
      <c r="B363" s="1">
        <v>46279</v>
      </c>
      <c r="C363" t="s">
        <v>86</v>
      </c>
      <c r="D363" t="s">
        <v>33</v>
      </c>
      <c r="E363" t="s">
        <v>34</v>
      </c>
      <c r="F363" t="s">
        <v>42</v>
      </c>
      <c r="G363" t="s">
        <v>27</v>
      </c>
      <c r="H363">
        <v>1</v>
      </c>
      <c r="I363" s="3">
        <v>599</v>
      </c>
      <c r="J363" s="4">
        <v>15</v>
      </c>
      <c r="K363" s="3">
        <v>509</v>
      </c>
      <c r="L363" s="3">
        <v>509</v>
      </c>
      <c r="M363" t="s">
        <v>28</v>
      </c>
      <c r="N363" t="s">
        <v>37</v>
      </c>
      <c r="O363" s="3">
        <v>35</v>
      </c>
      <c r="P363" t="s">
        <v>30</v>
      </c>
      <c r="Q363" s="3">
        <v>39.369999999999997</v>
      </c>
      <c r="R363" s="3">
        <v>248.59</v>
      </c>
      <c r="S363" s="3">
        <v>186.04</v>
      </c>
      <c r="T363" s="3">
        <v>509</v>
      </c>
      <c r="U363" s="3">
        <v>38</v>
      </c>
      <c r="V363" t="s">
        <v>87</v>
      </c>
    </row>
    <row r="364" spans="1:22" x14ac:dyDescent="0.3">
      <c r="A364" t="s">
        <v>448</v>
      </c>
      <c r="B364" s="1">
        <v>46026</v>
      </c>
      <c r="C364" t="s">
        <v>52</v>
      </c>
      <c r="D364" t="s">
        <v>24</v>
      </c>
      <c r="E364" t="s">
        <v>25</v>
      </c>
      <c r="F364" t="s">
        <v>100</v>
      </c>
      <c r="G364" t="s">
        <v>101</v>
      </c>
      <c r="H364">
        <v>1</v>
      </c>
      <c r="I364" s="3">
        <v>349</v>
      </c>
      <c r="J364" s="4">
        <v>15</v>
      </c>
      <c r="K364" s="3">
        <v>297</v>
      </c>
      <c r="L364" s="3">
        <v>297</v>
      </c>
      <c r="M364" t="s">
        <v>76</v>
      </c>
      <c r="N364" t="s">
        <v>29</v>
      </c>
      <c r="O364" s="3">
        <v>45</v>
      </c>
      <c r="P364" t="s">
        <v>30</v>
      </c>
      <c r="Q364" s="3">
        <v>23.42</v>
      </c>
      <c r="R364" s="3">
        <v>141.44</v>
      </c>
      <c r="S364" s="3">
        <v>87.14</v>
      </c>
      <c r="T364" s="3">
        <v>297</v>
      </c>
      <c r="U364" s="3">
        <v>1</v>
      </c>
      <c r="V364" t="s">
        <v>57</v>
      </c>
    </row>
    <row r="365" spans="1:22" x14ac:dyDescent="0.3">
      <c r="A365" t="s">
        <v>449</v>
      </c>
      <c r="B365" s="1">
        <v>46038</v>
      </c>
      <c r="C365" t="s">
        <v>52</v>
      </c>
      <c r="D365" t="s">
        <v>115</v>
      </c>
      <c r="E365" t="s">
        <v>116</v>
      </c>
      <c r="F365" t="s">
        <v>55</v>
      </c>
      <c r="G365" t="s">
        <v>56</v>
      </c>
      <c r="H365">
        <v>1</v>
      </c>
      <c r="I365" s="3">
        <v>249</v>
      </c>
      <c r="J365" s="4">
        <v>30</v>
      </c>
      <c r="K365" s="3">
        <v>174</v>
      </c>
      <c r="L365" s="3">
        <v>174</v>
      </c>
      <c r="M365" t="s">
        <v>28</v>
      </c>
      <c r="N365" t="s">
        <v>37</v>
      </c>
      <c r="O365" s="3">
        <v>55</v>
      </c>
      <c r="P365" t="s">
        <v>30</v>
      </c>
      <c r="Q365" s="3">
        <v>7.49</v>
      </c>
      <c r="R365" s="3">
        <v>79.25</v>
      </c>
      <c r="S365" s="3">
        <v>32.26</v>
      </c>
      <c r="T365" s="3">
        <v>174</v>
      </c>
      <c r="U365" s="3">
        <v>3</v>
      </c>
      <c r="V365" t="s">
        <v>57</v>
      </c>
    </row>
    <row r="366" spans="1:22" x14ac:dyDescent="0.3">
      <c r="A366" t="s">
        <v>450</v>
      </c>
      <c r="B366" s="1">
        <v>46269</v>
      </c>
      <c r="C366" t="s">
        <v>86</v>
      </c>
      <c r="D366" t="s">
        <v>24</v>
      </c>
      <c r="E366" t="s">
        <v>25</v>
      </c>
      <c r="F366" t="s">
        <v>79</v>
      </c>
      <c r="G366" t="s">
        <v>80</v>
      </c>
      <c r="H366">
        <v>1</v>
      </c>
      <c r="I366" s="3">
        <v>349</v>
      </c>
      <c r="J366" s="4">
        <v>20</v>
      </c>
      <c r="K366" s="3">
        <v>279</v>
      </c>
      <c r="L366" s="3">
        <v>279</v>
      </c>
      <c r="M366" t="s">
        <v>102</v>
      </c>
      <c r="N366" t="s">
        <v>37</v>
      </c>
      <c r="O366" s="3">
        <v>45</v>
      </c>
      <c r="P366" t="s">
        <v>30</v>
      </c>
      <c r="Q366" s="3">
        <v>12.34</v>
      </c>
      <c r="R366" s="3">
        <v>127.08</v>
      </c>
      <c r="S366" s="3">
        <v>94.58</v>
      </c>
      <c r="T366" s="3">
        <v>279</v>
      </c>
      <c r="U366" s="3">
        <v>36</v>
      </c>
      <c r="V366" t="s">
        <v>87</v>
      </c>
    </row>
    <row r="367" spans="1:22" x14ac:dyDescent="0.3">
      <c r="A367" t="s">
        <v>451</v>
      </c>
      <c r="B367" s="1">
        <v>46280</v>
      </c>
      <c r="C367" t="s">
        <v>86</v>
      </c>
      <c r="D367" t="s">
        <v>24</v>
      </c>
      <c r="E367" t="s">
        <v>25</v>
      </c>
      <c r="F367" t="s">
        <v>100</v>
      </c>
      <c r="G367" t="s">
        <v>101</v>
      </c>
      <c r="H367">
        <v>1</v>
      </c>
      <c r="I367" s="3">
        <v>349</v>
      </c>
      <c r="J367" s="4">
        <v>20</v>
      </c>
      <c r="K367" s="3">
        <v>279</v>
      </c>
      <c r="L367" s="3">
        <v>279</v>
      </c>
      <c r="M367" t="s">
        <v>28</v>
      </c>
      <c r="N367" t="s">
        <v>37</v>
      </c>
      <c r="O367" s="3">
        <v>55</v>
      </c>
      <c r="P367" t="s">
        <v>30</v>
      </c>
      <c r="Q367" s="3">
        <v>11.49</v>
      </c>
      <c r="R367" s="3">
        <v>142.49</v>
      </c>
      <c r="S367" s="3">
        <v>70.02</v>
      </c>
      <c r="T367" s="3">
        <v>279</v>
      </c>
      <c r="U367" s="3">
        <v>38</v>
      </c>
      <c r="V367" t="s">
        <v>87</v>
      </c>
    </row>
    <row r="368" spans="1:22" x14ac:dyDescent="0.3">
      <c r="A368" t="s">
        <v>452</v>
      </c>
      <c r="B368" s="1">
        <v>46182</v>
      </c>
      <c r="C368" t="s">
        <v>78</v>
      </c>
      <c r="D368" t="s">
        <v>24</v>
      </c>
      <c r="E368" t="s">
        <v>25</v>
      </c>
      <c r="F368" t="s">
        <v>26</v>
      </c>
      <c r="G368" t="s">
        <v>27</v>
      </c>
      <c r="H368">
        <v>1</v>
      </c>
      <c r="I368" s="3">
        <v>349</v>
      </c>
      <c r="J368" s="4">
        <v>15</v>
      </c>
      <c r="K368" s="3">
        <v>297</v>
      </c>
      <c r="L368" s="3">
        <v>297</v>
      </c>
      <c r="M368" t="s">
        <v>28</v>
      </c>
      <c r="N368" t="s">
        <v>29</v>
      </c>
      <c r="O368" s="3">
        <v>55</v>
      </c>
      <c r="P368" t="s">
        <v>30</v>
      </c>
      <c r="Q368" s="3">
        <v>15</v>
      </c>
      <c r="R368" s="3">
        <v>134.04</v>
      </c>
      <c r="S368" s="3">
        <v>92.96</v>
      </c>
      <c r="T368" s="3">
        <v>297</v>
      </c>
      <c r="U368" s="3">
        <v>24</v>
      </c>
      <c r="V368" t="s">
        <v>81</v>
      </c>
    </row>
    <row r="369" spans="1:22" x14ac:dyDescent="0.3">
      <c r="A369" t="s">
        <v>453</v>
      </c>
      <c r="B369" s="1">
        <v>46174</v>
      </c>
      <c r="C369" t="s">
        <v>78</v>
      </c>
      <c r="D369" t="s">
        <v>115</v>
      </c>
      <c r="E369" t="s">
        <v>116</v>
      </c>
      <c r="F369" t="s">
        <v>79</v>
      </c>
      <c r="G369" t="s">
        <v>80</v>
      </c>
      <c r="H369">
        <v>1</v>
      </c>
      <c r="I369" s="3">
        <v>249</v>
      </c>
      <c r="J369" s="4">
        <v>20</v>
      </c>
      <c r="K369" s="3">
        <v>199</v>
      </c>
      <c r="L369" s="3">
        <v>199</v>
      </c>
      <c r="M369" t="s">
        <v>28</v>
      </c>
      <c r="N369" t="s">
        <v>37</v>
      </c>
      <c r="O369" s="3">
        <v>65</v>
      </c>
      <c r="P369" t="s">
        <v>30</v>
      </c>
      <c r="Q369" s="3">
        <v>11.17</v>
      </c>
      <c r="R369" s="3">
        <v>98.55</v>
      </c>
      <c r="S369" s="3">
        <v>24.28</v>
      </c>
      <c r="T369" s="3">
        <v>199</v>
      </c>
      <c r="U369" s="3">
        <v>23</v>
      </c>
      <c r="V369" t="s">
        <v>81</v>
      </c>
    </row>
    <row r="370" spans="1:22" x14ac:dyDescent="0.3">
      <c r="A370" t="s">
        <v>454</v>
      </c>
      <c r="B370" s="1">
        <v>46200</v>
      </c>
      <c r="C370" t="s">
        <v>78</v>
      </c>
      <c r="D370" t="s">
        <v>63</v>
      </c>
      <c r="E370" t="s">
        <v>47</v>
      </c>
      <c r="F370" t="s">
        <v>100</v>
      </c>
      <c r="G370" t="s">
        <v>101</v>
      </c>
      <c r="H370">
        <v>1</v>
      </c>
      <c r="I370" s="3">
        <v>399</v>
      </c>
      <c r="J370" s="4">
        <v>30</v>
      </c>
      <c r="K370" s="3">
        <v>279</v>
      </c>
      <c r="L370" s="3">
        <v>279</v>
      </c>
      <c r="M370" t="s">
        <v>64</v>
      </c>
      <c r="N370" t="s">
        <v>29</v>
      </c>
      <c r="O370" s="3">
        <v>35</v>
      </c>
      <c r="P370" t="s">
        <v>30</v>
      </c>
      <c r="Q370" s="3">
        <v>18.5</v>
      </c>
      <c r="R370" s="3">
        <v>117.4</v>
      </c>
      <c r="S370" s="3">
        <v>108.1</v>
      </c>
      <c r="T370" s="3">
        <v>279</v>
      </c>
      <c r="U370" s="3">
        <v>26</v>
      </c>
      <c r="V370" t="s">
        <v>81</v>
      </c>
    </row>
    <row r="371" spans="1:22" x14ac:dyDescent="0.3">
      <c r="A371" t="s">
        <v>455</v>
      </c>
      <c r="B371" s="1">
        <v>46185</v>
      </c>
      <c r="C371" t="s">
        <v>78</v>
      </c>
      <c r="D371" t="s">
        <v>59</v>
      </c>
      <c r="E371" t="s">
        <v>60</v>
      </c>
      <c r="F371" t="s">
        <v>35</v>
      </c>
      <c r="G371" t="s">
        <v>36</v>
      </c>
      <c r="H371">
        <v>2</v>
      </c>
      <c r="I371" s="3">
        <v>299</v>
      </c>
      <c r="J371" s="4">
        <v>20</v>
      </c>
      <c r="K371" s="3">
        <v>239</v>
      </c>
      <c r="L371" s="3">
        <v>478</v>
      </c>
      <c r="M371" t="s">
        <v>28</v>
      </c>
      <c r="N371" t="s">
        <v>37</v>
      </c>
      <c r="O371" s="3">
        <v>55</v>
      </c>
      <c r="P371" t="s">
        <v>30</v>
      </c>
      <c r="Q371" s="3">
        <v>28.37</v>
      </c>
      <c r="R371" s="3">
        <v>225.33</v>
      </c>
      <c r="S371" s="3">
        <v>169.3</v>
      </c>
      <c r="T371" s="3">
        <v>239</v>
      </c>
      <c r="U371" s="3">
        <v>24</v>
      </c>
      <c r="V371" t="s">
        <v>81</v>
      </c>
    </row>
    <row r="372" spans="1:22" x14ac:dyDescent="0.3">
      <c r="A372" t="s">
        <v>456</v>
      </c>
      <c r="B372" s="1">
        <v>46055</v>
      </c>
      <c r="C372" t="s">
        <v>95</v>
      </c>
      <c r="D372" t="s">
        <v>130</v>
      </c>
      <c r="E372" t="s">
        <v>54</v>
      </c>
      <c r="F372" t="s">
        <v>109</v>
      </c>
      <c r="G372" t="s">
        <v>110</v>
      </c>
      <c r="H372">
        <v>1</v>
      </c>
      <c r="I372" s="3">
        <v>699</v>
      </c>
      <c r="J372" s="4">
        <v>5</v>
      </c>
      <c r="K372" s="3">
        <v>664</v>
      </c>
      <c r="L372" s="3">
        <v>664</v>
      </c>
      <c r="M372" t="s">
        <v>28</v>
      </c>
      <c r="N372" t="s">
        <v>37</v>
      </c>
      <c r="O372" s="3">
        <v>55</v>
      </c>
      <c r="P372" t="s">
        <v>30</v>
      </c>
      <c r="Q372" s="3">
        <v>45.49</v>
      </c>
      <c r="R372" s="3">
        <v>325.14</v>
      </c>
      <c r="S372" s="3">
        <v>238.37</v>
      </c>
      <c r="T372" s="3">
        <v>664</v>
      </c>
      <c r="U372" s="3">
        <v>6</v>
      </c>
      <c r="V372" t="s">
        <v>96</v>
      </c>
    </row>
    <row r="373" spans="1:22" x14ac:dyDescent="0.3">
      <c r="A373" t="s">
        <v>457</v>
      </c>
      <c r="B373" s="1">
        <v>46201</v>
      </c>
      <c r="C373" t="s">
        <v>78</v>
      </c>
      <c r="D373" t="s">
        <v>93</v>
      </c>
      <c r="E373" t="s">
        <v>47</v>
      </c>
      <c r="F373" t="s">
        <v>48</v>
      </c>
      <c r="G373" t="s">
        <v>49</v>
      </c>
      <c r="H373">
        <v>1</v>
      </c>
      <c r="I373" s="3">
        <v>699</v>
      </c>
      <c r="J373" s="4">
        <v>35</v>
      </c>
      <c r="K373" s="3">
        <v>454</v>
      </c>
      <c r="L373" s="3">
        <v>454</v>
      </c>
      <c r="M373" t="s">
        <v>64</v>
      </c>
      <c r="N373" t="s">
        <v>29</v>
      </c>
      <c r="O373" s="3">
        <v>55</v>
      </c>
      <c r="P373" t="s">
        <v>30</v>
      </c>
      <c r="Q373" s="3">
        <v>35.35</v>
      </c>
      <c r="R373" s="3">
        <v>208.85</v>
      </c>
      <c r="S373" s="3">
        <v>154.80000000000001</v>
      </c>
      <c r="T373" s="3">
        <v>454</v>
      </c>
      <c r="U373" s="3">
        <v>26</v>
      </c>
      <c r="V373" t="s">
        <v>81</v>
      </c>
    </row>
    <row r="374" spans="1:22" x14ac:dyDescent="0.3">
      <c r="A374" t="s">
        <v>458</v>
      </c>
      <c r="B374" s="1">
        <v>46123</v>
      </c>
      <c r="C374" t="s">
        <v>23</v>
      </c>
      <c r="D374" t="s">
        <v>33</v>
      </c>
      <c r="E374" t="s">
        <v>34</v>
      </c>
      <c r="F374" t="s">
        <v>68</v>
      </c>
      <c r="G374" t="s">
        <v>27</v>
      </c>
      <c r="H374">
        <v>1</v>
      </c>
      <c r="I374" s="3">
        <v>599</v>
      </c>
      <c r="J374" s="4">
        <v>25</v>
      </c>
      <c r="K374" s="3">
        <v>449</v>
      </c>
      <c r="L374" s="3">
        <v>449</v>
      </c>
      <c r="M374" t="s">
        <v>76</v>
      </c>
      <c r="N374" t="s">
        <v>37</v>
      </c>
      <c r="O374" s="3">
        <v>35</v>
      </c>
      <c r="P374" t="s">
        <v>30</v>
      </c>
      <c r="Q374" s="3">
        <v>25.7</v>
      </c>
      <c r="R374" s="3">
        <v>202.25</v>
      </c>
      <c r="S374" s="3">
        <v>186.05</v>
      </c>
      <c r="T374" s="3">
        <v>449</v>
      </c>
      <c r="U374" s="3">
        <v>15</v>
      </c>
      <c r="V374" t="s">
        <v>31</v>
      </c>
    </row>
    <row r="375" spans="1:22" x14ac:dyDescent="0.3">
      <c r="A375" t="s">
        <v>459</v>
      </c>
      <c r="B375" s="1">
        <v>46087</v>
      </c>
      <c r="C375" t="s">
        <v>39</v>
      </c>
      <c r="D375" t="s">
        <v>24</v>
      </c>
      <c r="E375" t="s">
        <v>25</v>
      </c>
      <c r="F375" t="s">
        <v>84</v>
      </c>
      <c r="G375" t="s">
        <v>84</v>
      </c>
      <c r="H375">
        <v>2</v>
      </c>
      <c r="I375" s="3">
        <v>349</v>
      </c>
      <c r="J375" s="4">
        <v>20</v>
      </c>
      <c r="K375" s="3">
        <v>279</v>
      </c>
      <c r="L375" s="3">
        <v>558</v>
      </c>
      <c r="M375" t="s">
        <v>28</v>
      </c>
      <c r="N375" t="s">
        <v>37</v>
      </c>
      <c r="O375" s="3">
        <v>55</v>
      </c>
      <c r="P375" t="s">
        <v>30</v>
      </c>
      <c r="Q375" s="3">
        <v>31.63</v>
      </c>
      <c r="R375" s="3">
        <v>243.3</v>
      </c>
      <c r="S375" s="3">
        <v>228.07</v>
      </c>
      <c r="T375" s="3">
        <v>279</v>
      </c>
      <c r="U375" s="3">
        <v>10</v>
      </c>
      <c r="V375" t="s">
        <v>43</v>
      </c>
    </row>
    <row r="376" spans="1:22" x14ac:dyDescent="0.3">
      <c r="A376" t="s">
        <v>460</v>
      </c>
      <c r="B376" s="1">
        <v>46190</v>
      </c>
      <c r="C376" t="s">
        <v>78</v>
      </c>
      <c r="D376" t="s">
        <v>53</v>
      </c>
      <c r="E376" t="s">
        <v>54</v>
      </c>
      <c r="F376" t="s">
        <v>68</v>
      </c>
      <c r="G376" t="s">
        <v>27</v>
      </c>
      <c r="H376">
        <v>2</v>
      </c>
      <c r="I376" s="3">
        <v>499</v>
      </c>
      <c r="J376" s="4">
        <v>10</v>
      </c>
      <c r="K376" s="3">
        <v>449</v>
      </c>
      <c r="L376" s="3">
        <v>898</v>
      </c>
      <c r="M376" t="s">
        <v>28</v>
      </c>
      <c r="N376" t="s">
        <v>37</v>
      </c>
      <c r="O376" s="3">
        <v>55</v>
      </c>
      <c r="P376" t="s">
        <v>30</v>
      </c>
      <c r="Q376" s="3">
        <v>64.83</v>
      </c>
      <c r="R376" s="3">
        <v>381.86</v>
      </c>
      <c r="S376" s="3">
        <v>396.31</v>
      </c>
      <c r="T376" s="3">
        <v>449</v>
      </c>
      <c r="U376" s="3">
        <v>25</v>
      </c>
      <c r="V376" t="s">
        <v>81</v>
      </c>
    </row>
    <row r="377" spans="1:22" x14ac:dyDescent="0.3">
      <c r="A377" t="s">
        <v>461</v>
      </c>
      <c r="B377" s="1">
        <v>46065</v>
      </c>
      <c r="C377" t="s">
        <v>95</v>
      </c>
      <c r="D377" t="s">
        <v>46</v>
      </c>
      <c r="E377" t="s">
        <v>47</v>
      </c>
      <c r="F377" t="s">
        <v>68</v>
      </c>
      <c r="G377" t="s">
        <v>27</v>
      </c>
      <c r="H377">
        <v>1</v>
      </c>
      <c r="I377" s="3">
        <v>899</v>
      </c>
      <c r="J377" s="4">
        <v>5</v>
      </c>
      <c r="K377" s="3">
        <v>854</v>
      </c>
      <c r="L377" s="3">
        <v>854</v>
      </c>
      <c r="M377" t="s">
        <v>64</v>
      </c>
      <c r="N377" t="s">
        <v>37</v>
      </c>
      <c r="O377" s="3">
        <v>35</v>
      </c>
      <c r="P377" t="s">
        <v>30</v>
      </c>
      <c r="Q377" s="3">
        <v>44.57</v>
      </c>
      <c r="R377" s="3">
        <v>381.27</v>
      </c>
      <c r="S377" s="3">
        <v>393.16</v>
      </c>
      <c r="T377" s="3">
        <v>854</v>
      </c>
      <c r="U377" s="3">
        <v>7</v>
      </c>
      <c r="V377" t="s">
        <v>96</v>
      </c>
    </row>
    <row r="378" spans="1:22" x14ac:dyDescent="0.3">
      <c r="A378" t="s">
        <v>462</v>
      </c>
      <c r="B378" s="1">
        <v>46066</v>
      </c>
      <c r="C378" t="s">
        <v>95</v>
      </c>
      <c r="D378" t="s">
        <v>46</v>
      </c>
      <c r="E378" t="s">
        <v>47</v>
      </c>
      <c r="F378" t="s">
        <v>48</v>
      </c>
      <c r="G378" t="s">
        <v>49</v>
      </c>
      <c r="H378">
        <v>1</v>
      </c>
      <c r="I378" s="3">
        <v>899</v>
      </c>
      <c r="J378" s="4">
        <v>5</v>
      </c>
      <c r="K378" s="3">
        <v>854</v>
      </c>
      <c r="L378" s="3">
        <v>854</v>
      </c>
      <c r="M378" t="s">
        <v>28</v>
      </c>
      <c r="N378" t="s">
        <v>29</v>
      </c>
      <c r="O378" s="3">
        <v>35</v>
      </c>
      <c r="P378" t="s">
        <v>30</v>
      </c>
      <c r="Q378" s="3">
        <v>34.49</v>
      </c>
      <c r="R378" s="3">
        <v>431.95</v>
      </c>
      <c r="S378" s="3">
        <v>352.56</v>
      </c>
      <c r="T378" s="3">
        <v>854</v>
      </c>
      <c r="U378" s="3">
        <v>7</v>
      </c>
      <c r="V378" t="s">
        <v>96</v>
      </c>
    </row>
    <row r="379" spans="1:22" x14ac:dyDescent="0.3">
      <c r="A379" t="s">
        <v>463</v>
      </c>
      <c r="B379" s="1">
        <v>46034</v>
      </c>
      <c r="C379" t="s">
        <v>52</v>
      </c>
      <c r="D379" t="s">
        <v>112</v>
      </c>
      <c r="E379" t="s">
        <v>47</v>
      </c>
      <c r="F379" t="s">
        <v>48</v>
      </c>
      <c r="G379" t="s">
        <v>49</v>
      </c>
      <c r="H379">
        <v>2</v>
      </c>
      <c r="I379" s="3">
        <v>299</v>
      </c>
      <c r="J379" s="4">
        <v>15</v>
      </c>
      <c r="K379" s="3">
        <v>254</v>
      </c>
      <c r="L379" s="3">
        <v>508</v>
      </c>
      <c r="M379" t="s">
        <v>28</v>
      </c>
      <c r="N379" t="s">
        <v>37</v>
      </c>
      <c r="O379" s="3">
        <v>65</v>
      </c>
      <c r="P379" t="s">
        <v>30</v>
      </c>
      <c r="Q379" s="3">
        <v>27.72</v>
      </c>
      <c r="R379" s="3">
        <v>242.12</v>
      </c>
      <c r="S379" s="3">
        <v>173.16</v>
      </c>
      <c r="T379" s="3">
        <v>254</v>
      </c>
      <c r="U379" s="3">
        <v>3</v>
      </c>
      <c r="V379" t="s">
        <v>57</v>
      </c>
    </row>
    <row r="380" spans="1:22" x14ac:dyDescent="0.3">
      <c r="A380" t="s">
        <v>464</v>
      </c>
      <c r="B380" s="1">
        <v>46117</v>
      </c>
      <c r="C380" t="s">
        <v>23</v>
      </c>
      <c r="D380" t="s">
        <v>24</v>
      </c>
      <c r="E380" t="s">
        <v>25</v>
      </c>
      <c r="F380" t="s">
        <v>79</v>
      </c>
      <c r="G380" t="s">
        <v>80</v>
      </c>
      <c r="H380">
        <v>2</v>
      </c>
      <c r="I380" s="3">
        <v>349</v>
      </c>
      <c r="J380" s="4">
        <v>20</v>
      </c>
      <c r="K380" s="3">
        <v>279</v>
      </c>
      <c r="L380" s="3">
        <v>558</v>
      </c>
      <c r="M380" t="s">
        <v>28</v>
      </c>
      <c r="N380" t="s">
        <v>37</v>
      </c>
      <c r="O380" s="3">
        <v>65</v>
      </c>
      <c r="P380" t="s">
        <v>30</v>
      </c>
      <c r="Q380" s="3">
        <v>24.4</v>
      </c>
      <c r="R380" s="3">
        <v>257.27</v>
      </c>
      <c r="S380" s="3">
        <v>211.33</v>
      </c>
      <c r="T380" s="3">
        <v>279</v>
      </c>
      <c r="U380" s="3">
        <v>14</v>
      </c>
      <c r="V380" t="s">
        <v>31</v>
      </c>
    </row>
    <row r="381" spans="1:22" x14ac:dyDescent="0.3">
      <c r="A381" t="s">
        <v>465</v>
      </c>
      <c r="B381" s="1">
        <v>46275</v>
      </c>
      <c r="C381" t="s">
        <v>86</v>
      </c>
      <c r="D381" t="s">
        <v>93</v>
      </c>
      <c r="E381" t="s">
        <v>47</v>
      </c>
      <c r="F381" t="s">
        <v>79</v>
      </c>
      <c r="G381" t="s">
        <v>80</v>
      </c>
      <c r="H381">
        <v>1</v>
      </c>
      <c r="I381" s="3">
        <v>699</v>
      </c>
      <c r="J381" s="4">
        <v>10</v>
      </c>
      <c r="K381" s="3">
        <v>629</v>
      </c>
      <c r="L381" s="3">
        <v>629</v>
      </c>
      <c r="M381" t="s">
        <v>28</v>
      </c>
      <c r="N381" t="s">
        <v>29</v>
      </c>
      <c r="O381" s="3">
        <v>65</v>
      </c>
      <c r="P381" t="s">
        <v>30</v>
      </c>
      <c r="Q381" s="3">
        <v>36.479999999999997</v>
      </c>
      <c r="R381" s="3">
        <v>285.41000000000003</v>
      </c>
      <c r="S381" s="3">
        <v>242.11</v>
      </c>
      <c r="T381" s="3">
        <v>629</v>
      </c>
      <c r="U381" s="3">
        <v>37</v>
      </c>
      <c r="V381" t="s">
        <v>87</v>
      </c>
    </row>
    <row r="382" spans="1:22" x14ac:dyDescent="0.3">
      <c r="A382" t="s">
        <v>466</v>
      </c>
      <c r="B382" s="1">
        <v>46264</v>
      </c>
      <c r="C382" t="s">
        <v>67</v>
      </c>
      <c r="D382" t="s">
        <v>115</v>
      </c>
      <c r="E382" t="s">
        <v>116</v>
      </c>
      <c r="F382" t="s">
        <v>68</v>
      </c>
      <c r="G382" t="s">
        <v>27</v>
      </c>
      <c r="H382">
        <v>1</v>
      </c>
      <c r="I382" s="3">
        <v>249</v>
      </c>
      <c r="J382" s="4">
        <v>35</v>
      </c>
      <c r="K382" s="3">
        <v>162</v>
      </c>
      <c r="L382" s="3">
        <v>162</v>
      </c>
      <c r="M382" t="s">
        <v>76</v>
      </c>
      <c r="N382" t="s">
        <v>37</v>
      </c>
      <c r="O382" s="3">
        <v>35</v>
      </c>
      <c r="P382" t="s">
        <v>30</v>
      </c>
      <c r="Q382" s="3">
        <v>8.65</v>
      </c>
      <c r="R382" s="3">
        <v>74.430000000000007</v>
      </c>
      <c r="S382" s="3">
        <v>43.92</v>
      </c>
      <c r="T382" s="3">
        <v>162</v>
      </c>
      <c r="U382" s="3">
        <v>35</v>
      </c>
      <c r="V382" t="s">
        <v>71</v>
      </c>
    </row>
    <row r="383" spans="1:22" x14ac:dyDescent="0.3">
      <c r="A383" t="s">
        <v>467</v>
      </c>
      <c r="B383" s="1">
        <v>46057</v>
      </c>
      <c r="C383" t="s">
        <v>95</v>
      </c>
      <c r="D383" t="s">
        <v>74</v>
      </c>
      <c r="E383" t="s">
        <v>75</v>
      </c>
      <c r="F383" t="s">
        <v>68</v>
      </c>
      <c r="G383" t="s">
        <v>27</v>
      </c>
      <c r="H383">
        <v>1</v>
      </c>
      <c r="I383" s="3">
        <v>549</v>
      </c>
      <c r="J383" s="4">
        <v>15</v>
      </c>
      <c r="K383" s="3">
        <v>467</v>
      </c>
      <c r="L383" s="3">
        <v>467</v>
      </c>
      <c r="M383" t="s">
        <v>102</v>
      </c>
      <c r="N383" t="s">
        <v>37</v>
      </c>
      <c r="O383" s="3">
        <v>35</v>
      </c>
      <c r="P383" t="s">
        <v>30</v>
      </c>
      <c r="Q383" s="3">
        <v>21.47</v>
      </c>
      <c r="R383" s="3">
        <v>208.66</v>
      </c>
      <c r="S383" s="3">
        <v>201.87</v>
      </c>
      <c r="T383" s="3">
        <v>467</v>
      </c>
      <c r="U383" s="3">
        <v>6</v>
      </c>
      <c r="V383" t="s">
        <v>96</v>
      </c>
    </row>
    <row r="384" spans="1:22" x14ac:dyDescent="0.3">
      <c r="A384" t="s">
        <v>468</v>
      </c>
      <c r="B384" s="1">
        <v>46237</v>
      </c>
      <c r="C384" t="s">
        <v>67</v>
      </c>
      <c r="D384" t="s">
        <v>112</v>
      </c>
      <c r="E384" t="s">
        <v>47</v>
      </c>
      <c r="F384" t="s">
        <v>26</v>
      </c>
      <c r="G384" t="s">
        <v>27</v>
      </c>
      <c r="H384">
        <v>1</v>
      </c>
      <c r="I384" s="3">
        <v>299</v>
      </c>
      <c r="J384" s="4">
        <v>5</v>
      </c>
      <c r="K384" s="3">
        <v>284</v>
      </c>
      <c r="L384" s="3">
        <v>284</v>
      </c>
      <c r="M384" t="s">
        <v>28</v>
      </c>
      <c r="N384" t="s">
        <v>29</v>
      </c>
      <c r="O384" s="3">
        <v>55</v>
      </c>
      <c r="P384" t="s">
        <v>30</v>
      </c>
      <c r="Q384" s="3">
        <v>20.48</v>
      </c>
      <c r="R384" s="3">
        <v>126.28</v>
      </c>
      <c r="S384" s="3">
        <v>82.24</v>
      </c>
      <c r="T384" s="3">
        <v>284</v>
      </c>
      <c r="U384" s="3">
        <v>32</v>
      </c>
      <c r="V384" t="s">
        <v>71</v>
      </c>
    </row>
    <row r="385" spans="1:22" x14ac:dyDescent="0.3">
      <c r="A385" t="s">
        <v>469</v>
      </c>
      <c r="B385" s="1">
        <v>46112</v>
      </c>
      <c r="C385" t="s">
        <v>39</v>
      </c>
      <c r="D385" t="s">
        <v>130</v>
      </c>
      <c r="E385" t="s">
        <v>54</v>
      </c>
      <c r="F385" t="s">
        <v>109</v>
      </c>
      <c r="G385" t="s">
        <v>110</v>
      </c>
      <c r="H385">
        <v>1</v>
      </c>
      <c r="I385" s="3">
        <v>699</v>
      </c>
      <c r="J385" s="4">
        <v>15</v>
      </c>
      <c r="K385" s="3">
        <v>594</v>
      </c>
      <c r="L385" s="3">
        <v>594</v>
      </c>
      <c r="M385" t="s">
        <v>28</v>
      </c>
      <c r="N385" t="s">
        <v>29</v>
      </c>
      <c r="O385" s="3">
        <v>55</v>
      </c>
      <c r="P385" t="s">
        <v>30</v>
      </c>
      <c r="Q385" s="3">
        <v>33.53</v>
      </c>
      <c r="R385" s="3">
        <v>263.77</v>
      </c>
      <c r="S385" s="3">
        <v>241.7</v>
      </c>
      <c r="T385" s="3">
        <v>594</v>
      </c>
      <c r="U385" s="3">
        <v>14</v>
      </c>
      <c r="V385" t="s">
        <v>43</v>
      </c>
    </row>
    <row r="386" spans="1:22" x14ac:dyDescent="0.3">
      <c r="A386" t="s">
        <v>470</v>
      </c>
      <c r="B386" s="1">
        <v>46286</v>
      </c>
      <c r="C386" t="s">
        <v>86</v>
      </c>
      <c r="D386" t="s">
        <v>53</v>
      </c>
      <c r="E386" t="s">
        <v>54</v>
      </c>
      <c r="F386" t="s">
        <v>35</v>
      </c>
      <c r="G386" t="s">
        <v>36</v>
      </c>
      <c r="H386">
        <v>1</v>
      </c>
      <c r="I386" s="3">
        <v>499</v>
      </c>
      <c r="J386" s="4">
        <v>30</v>
      </c>
      <c r="K386" s="3">
        <v>349</v>
      </c>
      <c r="L386" s="3">
        <v>349</v>
      </c>
      <c r="M386" t="s">
        <v>28</v>
      </c>
      <c r="N386" t="s">
        <v>37</v>
      </c>
      <c r="O386" s="3">
        <v>65</v>
      </c>
      <c r="P386" t="s">
        <v>30</v>
      </c>
      <c r="Q386" s="3">
        <v>23.12</v>
      </c>
      <c r="R386" s="3">
        <v>165.26</v>
      </c>
      <c r="S386" s="3">
        <v>95.62</v>
      </c>
      <c r="T386" s="3">
        <v>349</v>
      </c>
      <c r="U386" s="3">
        <v>39</v>
      </c>
      <c r="V386" t="s">
        <v>87</v>
      </c>
    </row>
    <row r="387" spans="1:22" x14ac:dyDescent="0.3">
      <c r="A387" t="s">
        <v>471</v>
      </c>
      <c r="B387" s="1">
        <v>46115</v>
      </c>
      <c r="C387" t="s">
        <v>23</v>
      </c>
      <c r="D387" t="s">
        <v>130</v>
      </c>
      <c r="E387" t="s">
        <v>54</v>
      </c>
      <c r="F387" t="s">
        <v>26</v>
      </c>
      <c r="G387" t="s">
        <v>27</v>
      </c>
      <c r="H387">
        <v>1</v>
      </c>
      <c r="I387" s="3">
        <v>699</v>
      </c>
      <c r="J387" s="4">
        <v>20</v>
      </c>
      <c r="K387" s="3">
        <v>559</v>
      </c>
      <c r="L387" s="3">
        <v>559</v>
      </c>
      <c r="M387" t="s">
        <v>28</v>
      </c>
      <c r="N387" t="s">
        <v>29</v>
      </c>
      <c r="O387" s="3">
        <v>65</v>
      </c>
      <c r="P387" t="s">
        <v>30</v>
      </c>
      <c r="Q387" s="3">
        <v>44.21</v>
      </c>
      <c r="R387" s="3">
        <v>279.14999999999998</v>
      </c>
      <c r="S387" s="3">
        <v>170.64</v>
      </c>
      <c r="T387" s="3">
        <v>559</v>
      </c>
      <c r="U387" s="3">
        <v>14</v>
      </c>
      <c r="V387" t="s">
        <v>31</v>
      </c>
    </row>
    <row r="388" spans="1:22" x14ac:dyDescent="0.3">
      <c r="A388" t="s">
        <v>472</v>
      </c>
      <c r="B388" s="1">
        <v>46112</v>
      </c>
      <c r="C388" t="s">
        <v>39</v>
      </c>
      <c r="D388" t="s">
        <v>53</v>
      </c>
      <c r="E388" t="s">
        <v>54</v>
      </c>
      <c r="F388" t="s">
        <v>100</v>
      </c>
      <c r="G388" t="s">
        <v>101</v>
      </c>
      <c r="H388">
        <v>2</v>
      </c>
      <c r="I388" s="3">
        <v>499</v>
      </c>
      <c r="J388" s="4">
        <v>15</v>
      </c>
      <c r="K388" s="3">
        <v>424</v>
      </c>
      <c r="L388" s="3">
        <v>848</v>
      </c>
      <c r="M388" t="s">
        <v>28</v>
      </c>
      <c r="N388" t="s">
        <v>29</v>
      </c>
      <c r="O388" s="3">
        <v>45</v>
      </c>
      <c r="P388" t="s">
        <v>30</v>
      </c>
      <c r="Q388" s="3">
        <v>48.65</v>
      </c>
      <c r="R388" s="3">
        <v>394.02</v>
      </c>
      <c r="S388" s="3">
        <v>360.33</v>
      </c>
      <c r="T388" s="3">
        <v>424</v>
      </c>
      <c r="U388" s="3">
        <v>14</v>
      </c>
      <c r="V388" t="s">
        <v>43</v>
      </c>
    </row>
    <row r="389" spans="1:22" x14ac:dyDescent="0.3">
      <c r="A389" t="s">
        <v>473</v>
      </c>
      <c r="B389" s="1">
        <v>46137</v>
      </c>
      <c r="C389" t="s">
        <v>23</v>
      </c>
      <c r="D389" t="s">
        <v>40</v>
      </c>
      <c r="E389" t="s">
        <v>41</v>
      </c>
      <c r="F389" t="s">
        <v>42</v>
      </c>
      <c r="G389" t="s">
        <v>27</v>
      </c>
      <c r="H389">
        <v>1</v>
      </c>
      <c r="I389" s="3">
        <v>449</v>
      </c>
      <c r="J389" s="4">
        <v>25</v>
      </c>
      <c r="K389" s="3">
        <v>337</v>
      </c>
      <c r="L389" s="3">
        <v>337</v>
      </c>
      <c r="M389" t="s">
        <v>28</v>
      </c>
      <c r="N389" t="s">
        <v>37</v>
      </c>
      <c r="O389" s="3">
        <v>55</v>
      </c>
      <c r="P389" t="s">
        <v>30</v>
      </c>
      <c r="Q389" s="3">
        <v>22.77</v>
      </c>
      <c r="R389" s="3">
        <v>169.28</v>
      </c>
      <c r="S389" s="3">
        <v>89.95</v>
      </c>
      <c r="T389" s="3">
        <v>337</v>
      </c>
      <c r="U389" s="3">
        <v>17</v>
      </c>
      <c r="V389" t="s">
        <v>31</v>
      </c>
    </row>
    <row r="390" spans="1:22" x14ac:dyDescent="0.3">
      <c r="A390" t="s">
        <v>474</v>
      </c>
      <c r="B390" s="1">
        <v>46127</v>
      </c>
      <c r="C390" t="s">
        <v>23</v>
      </c>
      <c r="D390" t="s">
        <v>130</v>
      </c>
      <c r="E390" t="s">
        <v>54</v>
      </c>
      <c r="F390" t="s">
        <v>55</v>
      </c>
      <c r="G390" t="s">
        <v>56</v>
      </c>
      <c r="H390">
        <v>1</v>
      </c>
      <c r="I390" s="3">
        <v>699</v>
      </c>
      <c r="J390" s="4">
        <v>30</v>
      </c>
      <c r="K390" s="3">
        <v>489</v>
      </c>
      <c r="L390" s="3">
        <v>489</v>
      </c>
      <c r="M390" t="s">
        <v>28</v>
      </c>
      <c r="N390" t="s">
        <v>29</v>
      </c>
      <c r="O390" s="3">
        <v>35</v>
      </c>
      <c r="P390" t="s">
        <v>30</v>
      </c>
      <c r="Q390" s="3">
        <v>29.19</v>
      </c>
      <c r="R390" s="3">
        <v>214.92</v>
      </c>
      <c r="S390" s="3">
        <v>209.89</v>
      </c>
      <c r="T390" s="3">
        <v>489</v>
      </c>
      <c r="U390" s="3">
        <v>16</v>
      </c>
      <c r="V390" t="s">
        <v>31</v>
      </c>
    </row>
    <row r="391" spans="1:22" x14ac:dyDescent="0.3">
      <c r="A391" t="s">
        <v>475</v>
      </c>
      <c r="B391" s="1">
        <v>46218</v>
      </c>
      <c r="C391" t="s">
        <v>45</v>
      </c>
      <c r="D391" t="s">
        <v>63</v>
      </c>
      <c r="E391" t="s">
        <v>47</v>
      </c>
      <c r="F391" t="s">
        <v>68</v>
      </c>
      <c r="G391" t="s">
        <v>27</v>
      </c>
      <c r="H391">
        <v>2</v>
      </c>
      <c r="I391" s="3">
        <v>399</v>
      </c>
      <c r="J391" s="4">
        <v>25</v>
      </c>
      <c r="K391" s="3">
        <v>299</v>
      </c>
      <c r="L391" s="3">
        <v>598</v>
      </c>
      <c r="M391" t="s">
        <v>28</v>
      </c>
      <c r="N391" t="s">
        <v>29</v>
      </c>
      <c r="O391" s="3">
        <v>55</v>
      </c>
      <c r="P391" t="s">
        <v>30</v>
      </c>
      <c r="Q391" s="3">
        <v>26.93</v>
      </c>
      <c r="R391" s="3">
        <v>309.70999999999998</v>
      </c>
      <c r="S391" s="3">
        <v>206.36</v>
      </c>
      <c r="T391" s="3">
        <v>299</v>
      </c>
      <c r="U391" s="3">
        <v>29</v>
      </c>
      <c r="V391" t="s">
        <v>50</v>
      </c>
    </row>
    <row r="392" spans="1:22" x14ac:dyDescent="0.3">
      <c r="A392" t="s">
        <v>476</v>
      </c>
      <c r="B392" s="1">
        <v>46136</v>
      </c>
      <c r="C392" t="s">
        <v>23</v>
      </c>
      <c r="D392" t="s">
        <v>74</v>
      </c>
      <c r="E392" t="s">
        <v>75</v>
      </c>
      <c r="F392" t="s">
        <v>84</v>
      </c>
      <c r="G392" t="s">
        <v>84</v>
      </c>
      <c r="H392">
        <v>1</v>
      </c>
      <c r="I392" s="3">
        <v>549</v>
      </c>
      <c r="J392" s="4">
        <v>25</v>
      </c>
      <c r="K392" s="3">
        <v>412</v>
      </c>
      <c r="L392" s="3">
        <v>412</v>
      </c>
      <c r="M392" t="s">
        <v>28</v>
      </c>
      <c r="N392" t="s">
        <v>37</v>
      </c>
      <c r="O392" s="3">
        <v>65</v>
      </c>
      <c r="P392" t="s">
        <v>30</v>
      </c>
      <c r="Q392" s="3">
        <v>16.57</v>
      </c>
      <c r="R392" s="3">
        <v>173.1</v>
      </c>
      <c r="S392" s="3">
        <v>157.33000000000001</v>
      </c>
      <c r="T392" s="3">
        <v>412</v>
      </c>
      <c r="U392" s="3">
        <v>17</v>
      </c>
      <c r="V392" t="s">
        <v>31</v>
      </c>
    </row>
    <row r="393" spans="1:22" x14ac:dyDescent="0.3">
      <c r="A393" t="s">
        <v>477</v>
      </c>
      <c r="B393" s="1">
        <v>46097</v>
      </c>
      <c r="C393" t="s">
        <v>39</v>
      </c>
      <c r="D393" t="s">
        <v>59</v>
      </c>
      <c r="E393" t="s">
        <v>60</v>
      </c>
      <c r="F393" t="s">
        <v>48</v>
      </c>
      <c r="G393" t="s">
        <v>49</v>
      </c>
      <c r="H393">
        <v>1</v>
      </c>
      <c r="I393" s="3">
        <v>299</v>
      </c>
      <c r="J393" s="4">
        <v>20</v>
      </c>
      <c r="K393" s="3">
        <v>239</v>
      </c>
      <c r="L393" s="3">
        <v>239</v>
      </c>
      <c r="M393" t="s">
        <v>69</v>
      </c>
      <c r="N393" t="s">
        <v>37</v>
      </c>
      <c r="O393" s="3">
        <v>35</v>
      </c>
      <c r="P393" t="s">
        <v>70</v>
      </c>
      <c r="Q393" s="3">
        <v>15.54</v>
      </c>
      <c r="R393" s="3">
        <v>118.24</v>
      </c>
      <c r="S393" s="3">
        <v>70.22</v>
      </c>
      <c r="T393" s="3">
        <v>239</v>
      </c>
      <c r="U393" s="3">
        <v>12</v>
      </c>
      <c r="V393" t="s">
        <v>43</v>
      </c>
    </row>
    <row r="394" spans="1:22" x14ac:dyDescent="0.3">
      <c r="A394" t="s">
        <v>478</v>
      </c>
      <c r="B394" s="1">
        <v>46239</v>
      </c>
      <c r="C394" t="s">
        <v>67</v>
      </c>
      <c r="D394" t="s">
        <v>63</v>
      </c>
      <c r="E394" t="s">
        <v>47</v>
      </c>
      <c r="F394" t="s">
        <v>109</v>
      </c>
      <c r="G394" t="s">
        <v>110</v>
      </c>
      <c r="H394">
        <v>1</v>
      </c>
      <c r="I394" s="3">
        <v>399</v>
      </c>
      <c r="J394" s="4">
        <v>25</v>
      </c>
      <c r="K394" s="3">
        <v>299</v>
      </c>
      <c r="L394" s="3">
        <v>299</v>
      </c>
      <c r="M394" t="s">
        <v>64</v>
      </c>
      <c r="N394" t="s">
        <v>37</v>
      </c>
      <c r="O394" s="3">
        <v>55</v>
      </c>
      <c r="P394" t="s">
        <v>30</v>
      </c>
      <c r="Q394" s="3">
        <v>13.32</v>
      </c>
      <c r="R394" s="3">
        <v>155.38999999999999</v>
      </c>
      <c r="S394" s="3">
        <v>75.290000000000006</v>
      </c>
      <c r="T394" s="3">
        <v>299</v>
      </c>
      <c r="U394" s="3">
        <v>32</v>
      </c>
      <c r="V394" t="s">
        <v>71</v>
      </c>
    </row>
    <row r="395" spans="1:22" x14ac:dyDescent="0.3">
      <c r="A395" t="s">
        <v>479</v>
      </c>
      <c r="B395" s="1">
        <v>46271</v>
      </c>
      <c r="C395" t="s">
        <v>86</v>
      </c>
      <c r="D395" t="s">
        <v>53</v>
      </c>
      <c r="E395" t="s">
        <v>54</v>
      </c>
      <c r="F395" t="s">
        <v>26</v>
      </c>
      <c r="G395" t="s">
        <v>27</v>
      </c>
      <c r="H395">
        <v>1</v>
      </c>
      <c r="I395" s="3">
        <v>499</v>
      </c>
      <c r="J395" s="4">
        <v>10</v>
      </c>
      <c r="K395" s="3">
        <v>449</v>
      </c>
      <c r="L395" s="3">
        <v>449</v>
      </c>
      <c r="M395" t="s">
        <v>28</v>
      </c>
      <c r="N395" t="s">
        <v>37</v>
      </c>
      <c r="O395" s="3">
        <v>45</v>
      </c>
      <c r="P395" t="s">
        <v>30</v>
      </c>
      <c r="Q395" s="3">
        <v>19.43</v>
      </c>
      <c r="R395" s="3">
        <v>200.19</v>
      </c>
      <c r="S395" s="3">
        <v>184.38</v>
      </c>
      <c r="T395" s="3">
        <v>449</v>
      </c>
      <c r="U395" s="3">
        <v>36</v>
      </c>
      <c r="V395" t="s">
        <v>87</v>
      </c>
    </row>
    <row r="396" spans="1:22" x14ac:dyDescent="0.3">
      <c r="A396" t="s">
        <v>480</v>
      </c>
      <c r="B396" s="1">
        <v>46186</v>
      </c>
      <c r="C396" t="s">
        <v>78</v>
      </c>
      <c r="D396" t="s">
        <v>59</v>
      </c>
      <c r="E396" t="s">
        <v>60</v>
      </c>
      <c r="F396" t="s">
        <v>26</v>
      </c>
      <c r="G396" t="s">
        <v>27</v>
      </c>
      <c r="H396">
        <v>1</v>
      </c>
      <c r="I396" s="3">
        <v>299</v>
      </c>
      <c r="J396" s="4">
        <v>20</v>
      </c>
      <c r="K396" s="3">
        <v>239</v>
      </c>
      <c r="L396" s="3">
        <v>239</v>
      </c>
      <c r="M396" t="s">
        <v>28</v>
      </c>
      <c r="N396" t="s">
        <v>37</v>
      </c>
      <c r="O396" s="3">
        <v>55</v>
      </c>
      <c r="P396" t="s">
        <v>30</v>
      </c>
      <c r="Q396" s="3">
        <v>15.62</v>
      </c>
      <c r="R396" s="3">
        <v>119.63</v>
      </c>
      <c r="S396" s="3">
        <v>48.75</v>
      </c>
      <c r="T396" s="3">
        <v>239</v>
      </c>
      <c r="U396" s="3">
        <v>24</v>
      </c>
      <c r="V396" t="s">
        <v>81</v>
      </c>
    </row>
    <row r="397" spans="1:22" x14ac:dyDescent="0.3">
      <c r="A397" t="s">
        <v>481</v>
      </c>
      <c r="B397" s="1">
        <v>46214</v>
      </c>
      <c r="C397" t="s">
        <v>45</v>
      </c>
      <c r="D397" t="s">
        <v>59</v>
      </c>
      <c r="E397" t="s">
        <v>60</v>
      </c>
      <c r="F397" t="s">
        <v>100</v>
      </c>
      <c r="G397" t="s">
        <v>101</v>
      </c>
      <c r="H397">
        <v>1</v>
      </c>
      <c r="I397" s="3">
        <v>299</v>
      </c>
      <c r="J397" s="4">
        <v>25</v>
      </c>
      <c r="K397" s="3">
        <v>224</v>
      </c>
      <c r="L397" s="3">
        <v>224</v>
      </c>
      <c r="M397" t="s">
        <v>28</v>
      </c>
      <c r="N397" t="s">
        <v>37</v>
      </c>
      <c r="O397" s="3">
        <v>45</v>
      </c>
      <c r="P397" t="s">
        <v>30</v>
      </c>
      <c r="Q397" s="3">
        <v>13.86</v>
      </c>
      <c r="R397" s="3">
        <v>112.89</v>
      </c>
      <c r="S397" s="3">
        <v>52.25</v>
      </c>
      <c r="T397" s="3">
        <v>224</v>
      </c>
      <c r="U397" s="3">
        <v>28</v>
      </c>
      <c r="V397" t="s">
        <v>50</v>
      </c>
    </row>
    <row r="398" spans="1:22" x14ac:dyDescent="0.3">
      <c r="A398" t="s">
        <v>482</v>
      </c>
      <c r="B398" s="1">
        <v>46249</v>
      </c>
      <c r="C398" t="s">
        <v>67</v>
      </c>
      <c r="D398" t="s">
        <v>46</v>
      </c>
      <c r="E398" t="s">
        <v>47</v>
      </c>
      <c r="F398" t="s">
        <v>68</v>
      </c>
      <c r="G398" t="s">
        <v>27</v>
      </c>
      <c r="H398">
        <v>1</v>
      </c>
      <c r="I398" s="3">
        <v>899</v>
      </c>
      <c r="J398" s="4">
        <v>10</v>
      </c>
      <c r="K398" s="3">
        <v>809</v>
      </c>
      <c r="L398" s="3">
        <v>809</v>
      </c>
      <c r="M398" t="s">
        <v>76</v>
      </c>
      <c r="N398" t="s">
        <v>29</v>
      </c>
      <c r="O398" s="3">
        <v>65</v>
      </c>
      <c r="P398" t="s">
        <v>30</v>
      </c>
      <c r="Q398" s="3">
        <v>55.88</v>
      </c>
      <c r="R398" s="3">
        <v>403.27</v>
      </c>
      <c r="S398" s="3">
        <v>284.85000000000002</v>
      </c>
      <c r="T398" s="3">
        <v>809</v>
      </c>
      <c r="U398" s="3">
        <v>33</v>
      </c>
      <c r="V398" t="s">
        <v>71</v>
      </c>
    </row>
    <row r="399" spans="1:22" x14ac:dyDescent="0.3">
      <c r="A399" t="s">
        <v>483</v>
      </c>
      <c r="B399" s="1">
        <v>46199</v>
      </c>
      <c r="C399" t="s">
        <v>78</v>
      </c>
      <c r="D399" t="s">
        <v>40</v>
      </c>
      <c r="E399" t="s">
        <v>41</v>
      </c>
      <c r="F399" t="s">
        <v>48</v>
      </c>
      <c r="G399" t="s">
        <v>49</v>
      </c>
      <c r="H399">
        <v>1</v>
      </c>
      <c r="I399" s="3">
        <v>449</v>
      </c>
      <c r="J399" s="4">
        <v>30</v>
      </c>
      <c r="K399" s="3">
        <v>314</v>
      </c>
      <c r="L399" s="3">
        <v>314</v>
      </c>
      <c r="M399" t="s">
        <v>28</v>
      </c>
      <c r="N399" t="s">
        <v>37</v>
      </c>
      <c r="O399" s="3">
        <v>45</v>
      </c>
      <c r="P399" t="s">
        <v>30</v>
      </c>
      <c r="Q399" s="3">
        <v>16.28</v>
      </c>
      <c r="R399" s="3">
        <v>131.91</v>
      </c>
      <c r="S399" s="3">
        <v>120.81</v>
      </c>
      <c r="T399" s="3">
        <v>314</v>
      </c>
      <c r="U399" s="3">
        <v>26</v>
      </c>
      <c r="V399" t="s">
        <v>81</v>
      </c>
    </row>
    <row r="400" spans="1:22" x14ac:dyDescent="0.3">
      <c r="A400" t="s">
        <v>484</v>
      </c>
      <c r="B400" s="1">
        <v>46121</v>
      </c>
      <c r="C400" t="s">
        <v>23</v>
      </c>
      <c r="D400" t="s">
        <v>33</v>
      </c>
      <c r="E400" t="s">
        <v>34</v>
      </c>
      <c r="F400" t="s">
        <v>100</v>
      </c>
      <c r="G400" t="s">
        <v>101</v>
      </c>
      <c r="H400">
        <v>1</v>
      </c>
      <c r="I400" s="3">
        <v>599</v>
      </c>
      <c r="J400" s="4">
        <v>25</v>
      </c>
      <c r="K400" s="3">
        <v>449</v>
      </c>
      <c r="L400" s="3">
        <v>449</v>
      </c>
      <c r="M400" t="s">
        <v>28</v>
      </c>
      <c r="N400" t="s">
        <v>29</v>
      </c>
      <c r="O400" s="3">
        <v>55</v>
      </c>
      <c r="P400" t="s">
        <v>30</v>
      </c>
      <c r="Q400" s="3">
        <v>18.72</v>
      </c>
      <c r="R400" s="3">
        <v>219.32</v>
      </c>
      <c r="S400" s="3">
        <v>155.96</v>
      </c>
      <c r="T400" s="3">
        <v>449</v>
      </c>
      <c r="U400" s="3">
        <v>15</v>
      </c>
      <c r="V400" t="s">
        <v>31</v>
      </c>
    </row>
    <row r="401" spans="1:22" x14ac:dyDescent="0.3">
      <c r="A401" t="s">
        <v>485</v>
      </c>
      <c r="B401" s="1">
        <v>46058</v>
      </c>
      <c r="C401" t="s">
        <v>95</v>
      </c>
      <c r="D401" t="s">
        <v>115</v>
      </c>
      <c r="E401" t="s">
        <v>116</v>
      </c>
      <c r="F401" t="s">
        <v>55</v>
      </c>
      <c r="G401" t="s">
        <v>56</v>
      </c>
      <c r="H401">
        <v>1</v>
      </c>
      <c r="I401" s="3">
        <v>249</v>
      </c>
      <c r="J401" s="4">
        <v>30</v>
      </c>
      <c r="K401" s="3">
        <v>174</v>
      </c>
      <c r="L401" s="3">
        <v>174</v>
      </c>
      <c r="M401" t="s">
        <v>69</v>
      </c>
      <c r="N401" t="s">
        <v>37</v>
      </c>
      <c r="O401" s="3">
        <v>45</v>
      </c>
      <c r="P401" t="s">
        <v>70</v>
      </c>
      <c r="Q401" s="3">
        <v>13.35</v>
      </c>
      <c r="R401" s="3">
        <v>84.39</v>
      </c>
      <c r="S401" s="3">
        <v>31.26</v>
      </c>
      <c r="T401" s="3">
        <v>174</v>
      </c>
      <c r="U401" s="3">
        <v>6</v>
      </c>
      <c r="V401" t="s">
        <v>96</v>
      </c>
    </row>
    <row r="402" spans="1:22" x14ac:dyDescent="0.3">
      <c r="A402" t="s">
        <v>486</v>
      </c>
      <c r="B402" s="1">
        <v>46118</v>
      </c>
      <c r="C402" t="s">
        <v>23</v>
      </c>
      <c r="D402" t="s">
        <v>130</v>
      </c>
      <c r="E402" t="s">
        <v>54</v>
      </c>
      <c r="F402" t="s">
        <v>55</v>
      </c>
      <c r="G402" t="s">
        <v>56</v>
      </c>
      <c r="H402">
        <v>1</v>
      </c>
      <c r="I402" s="3">
        <v>699</v>
      </c>
      <c r="J402" s="4">
        <v>30</v>
      </c>
      <c r="K402" s="3">
        <v>489</v>
      </c>
      <c r="L402" s="3">
        <v>489</v>
      </c>
      <c r="M402" t="s">
        <v>28</v>
      </c>
      <c r="N402" t="s">
        <v>37</v>
      </c>
      <c r="O402" s="3">
        <v>35</v>
      </c>
      <c r="P402" t="s">
        <v>30</v>
      </c>
      <c r="Q402" s="3">
        <v>19.829999999999998</v>
      </c>
      <c r="R402" s="3">
        <v>221.16</v>
      </c>
      <c r="S402" s="3">
        <v>213.01</v>
      </c>
      <c r="T402" s="3">
        <v>489</v>
      </c>
      <c r="U402" s="3">
        <v>15</v>
      </c>
      <c r="V402" t="s">
        <v>31</v>
      </c>
    </row>
    <row r="403" spans="1:22" x14ac:dyDescent="0.3">
      <c r="A403" t="s">
        <v>487</v>
      </c>
      <c r="B403" s="1">
        <v>46174</v>
      </c>
      <c r="C403" t="s">
        <v>78</v>
      </c>
      <c r="D403" t="s">
        <v>112</v>
      </c>
      <c r="E403" t="s">
        <v>47</v>
      </c>
      <c r="F403" t="s">
        <v>55</v>
      </c>
      <c r="G403" t="s">
        <v>56</v>
      </c>
      <c r="H403">
        <v>2</v>
      </c>
      <c r="I403" s="3">
        <v>299</v>
      </c>
      <c r="J403" s="4">
        <v>35</v>
      </c>
      <c r="K403" s="3">
        <v>194</v>
      </c>
      <c r="L403" s="3">
        <v>388</v>
      </c>
      <c r="M403" t="s">
        <v>64</v>
      </c>
      <c r="N403" t="s">
        <v>37</v>
      </c>
      <c r="O403" s="3">
        <v>35</v>
      </c>
      <c r="P403" t="s">
        <v>30</v>
      </c>
      <c r="Q403" s="3">
        <v>23.5</v>
      </c>
      <c r="R403" s="3">
        <v>166.26</v>
      </c>
      <c r="S403" s="3">
        <v>163.24</v>
      </c>
      <c r="T403" s="3">
        <v>194</v>
      </c>
      <c r="U403" s="3">
        <v>23</v>
      </c>
      <c r="V403" t="s">
        <v>81</v>
      </c>
    </row>
    <row r="404" spans="1:22" x14ac:dyDescent="0.3">
      <c r="A404" t="s">
        <v>488</v>
      </c>
      <c r="B404" s="1">
        <v>46173</v>
      </c>
      <c r="C404" t="s">
        <v>62</v>
      </c>
      <c r="D404" t="s">
        <v>112</v>
      </c>
      <c r="E404" t="s">
        <v>47</v>
      </c>
      <c r="F404" t="s">
        <v>26</v>
      </c>
      <c r="G404" t="s">
        <v>27</v>
      </c>
      <c r="H404">
        <v>1</v>
      </c>
      <c r="I404" s="3">
        <v>299</v>
      </c>
      <c r="J404" s="4">
        <v>20</v>
      </c>
      <c r="K404" s="3">
        <v>239</v>
      </c>
      <c r="L404" s="3">
        <v>239</v>
      </c>
      <c r="M404" t="s">
        <v>28</v>
      </c>
      <c r="N404" t="s">
        <v>37</v>
      </c>
      <c r="O404" s="3">
        <v>55</v>
      </c>
      <c r="P404" t="s">
        <v>30</v>
      </c>
      <c r="Q404" s="3">
        <v>14.15</v>
      </c>
      <c r="R404" s="3">
        <v>103.68</v>
      </c>
      <c r="S404" s="3">
        <v>66.17</v>
      </c>
      <c r="T404" s="3">
        <v>239</v>
      </c>
      <c r="U404" s="3">
        <v>22</v>
      </c>
      <c r="V404" t="s">
        <v>65</v>
      </c>
    </row>
    <row r="405" spans="1:22" x14ac:dyDescent="0.3">
      <c r="A405" t="s">
        <v>489</v>
      </c>
      <c r="B405" s="1">
        <v>46212</v>
      </c>
      <c r="C405" t="s">
        <v>45</v>
      </c>
      <c r="D405" t="s">
        <v>115</v>
      </c>
      <c r="E405" t="s">
        <v>116</v>
      </c>
      <c r="F405" t="s">
        <v>109</v>
      </c>
      <c r="G405" t="s">
        <v>110</v>
      </c>
      <c r="H405">
        <v>1</v>
      </c>
      <c r="I405" s="3">
        <v>249</v>
      </c>
      <c r="J405" s="4">
        <v>20</v>
      </c>
      <c r="K405" s="3">
        <v>199</v>
      </c>
      <c r="L405" s="3">
        <v>199</v>
      </c>
      <c r="M405" t="s">
        <v>102</v>
      </c>
      <c r="N405" t="s">
        <v>37</v>
      </c>
      <c r="O405" s="3">
        <v>55</v>
      </c>
      <c r="P405" t="s">
        <v>30</v>
      </c>
      <c r="Q405" s="3">
        <v>15.05</v>
      </c>
      <c r="R405" s="3">
        <v>92.81</v>
      </c>
      <c r="S405" s="3">
        <v>36.14</v>
      </c>
      <c r="T405" s="3">
        <v>199</v>
      </c>
      <c r="U405" s="3">
        <v>28</v>
      </c>
      <c r="V405" t="s">
        <v>50</v>
      </c>
    </row>
    <row r="406" spans="1:22" x14ac:dyDescent="0.3">
      <c r="A406" t="s">
        <v>490</v>
      </c>
      <c r="B406" s="1">
        <v>46246</v>
      </c>
      <c r="C406" t="s">
        <v>67</v>
      </c>
      <c r="D406" t="s">
        <v>63</v>
      </c>
      <c r="E406" t="s">
        <v>47</v>
      </c>
      <c r="F406" t="s">
        <v>42</v>
      </c>
      <c r="G406" t="s">
        <v>27</v>
      </c>
      <c r="H406">
        <v>1</v>
      </c>
      <c r="I406" s="3">
        <v>399</v>
      </c>
      <c r="J406" s="4">
        <v>25</v>
      </c>
      <c r="K406" s="3">
        <v>299</v>
      </c>
      <c r="L406" s="3">
        <v>299</v>
      </c>
      <c r="M406" t="s">
        <v>76</v>
      </c>
      <c r="N406" t="s">
        <v>29</v>
      </c>
      <c r="O406" s="3">
        <v>35</v>
      </c>
      <c r="P406" t="s">
        <v>30</v>
      </c>
      <c r="Q406" s="3">
        <v>20.27</v>
      </c>
      <c r="R406" s="3">
        <v>136.47999999999999</v>
      </c>
      <c r="S406" s="3">
        <v>107.25</v>
      </c>
      <c r="T406" s="3">
        <v>299</v>
      </c>
      <c r="U406" s="3">
        <v>33</v>
      </c>
      <c r="V406" t="s">
        <v>71</v>
      </c>
    </row>
    <row r="407" spans="1:22" x14ac:dyDescent="0.3">
      <c r="A407" t="s">
        <v>491</v>
      </c>
      <c r="B407" s="1">
        <v>46059</v>
      </c>
      <c r="C407" t="s">
        <v>95</v>
      </c>
      <c r="D407" t="s">
        <v>63</v>
      </c>
      <c r="E407" t="s">
        <v>47</v>
      </c>
      <c r="F407" t="s">
        <v>35</v>
      </c>
      <c r="G407" t="s">
        <v>36</v>
      </c>
      <c r="H407">
        <v>1</v>
      </c>
      <c r="I407" s="3">
        <v>399</v>
      </c>
      <c r="J407" s="4">
        <v>30</v>
      </c>
      <c r="K407" s="3">
        <v>279</v>
      </c>
      <c r="L407" s="3">
        <v>279</v>
      </c>
      <c r="M407" t="s">
        <v>102</v>
      </c>
      <c r="N407" t="s">
        <v>29</v>
      </c>
      <c r="O407" s="3">
        <v>45</v>
      </c>
      <c r="P407" t="s">
        <v>30</v>
      </c>
      <c r="Q407" s="3">
        <v>22.26</v>
      </c>
      <c r="R407" s="3">
        <v>119.76</v>
      </c>
      <c r="S407" s="3">
        <v>91.98</v>
      </c>
      <c r="T407" s="3">
        <v>279</v>
      </c>
      <c r="U407" s="3">
        <v>6</v>
      </c>
      <c r="V407" t="s">
        <v>96</v>
      </c>
    </row>
    <row r="408" spans="1:22" x14ac:dyDescent="0.3">
      <c r="A408" t="s">
        <v>492</v>
      </c>
      <c r="B408" s="1">
        <v>46205</v>
      </c>
      <c r="C408" t="s">
        <v>45</v>
      </c>
      <c r="D408" t="s">
        <v>59</v>
      </c>
      <c r="E408" t="s">
        <v>60</v>
      </c>
      <c r="F408" t="s">
        <v>48</v>
      </c>
      <c r="G408" t="s">
        <v>49</v>
      </c>
      <c r="H408">
        <v>1</v>
      </c>
      <c r="I408" s="3">
        <v>299</v>
      </c>
      <c r="J408" s="4">
        <v>20</v>
      </c>
      <c r="K408" s="3">
        <v>239</v>
      </c>
      <c r="L408" s="3">
        <v>239</v>
      </c>
      <c r="M408" t="s">
        <v>28</v>
      </c>
      <c r="N408" t="s">
        <v>37</v>
      </c>
      <c r="O408" s="3">
        <v>45</v>
      </c>
      <c r="P408" t="s">
        <v>30</v>
      </c>
      <c r="Q408" s="3">
        <v>11.78</v>
      </c>
      <c r="R408" s="3">
        <v>105.78</v>
      </c>
      <c r="S408" s="3">
        <v>76.44</v>
      </c>
      <c r="T408" s="3">
        <v>239</v>
      </c>
      <c r="U408" s="3">
        <v>27</v>
      </c>
      <c r="V408" t="s">
        <v>50</v>
      </c>
    </row>
    <row r="409" spans="1:22" x14ac:dyDescent="0.3">
      <c r="A409" t="s">
        <v>493</v>
      </c>
      <c r="B409" s="1">
        <v>46035</v>
      </c>
      <c r="C409" t="s">
        <v>52</v>
      </c>
      <c r="D409" t="s">
        <v>24</v>
      </c>
      <c r="E409" t="s">
        <v>25</v>
      </c>
      <c r="F409" t="s">
        <v>84</v>
      </c>
      <c r="G409" t="s">
        <v>84</v>
      </c>
      <c r="H409">
        <v>1</v>
      </c>
      <c r="I409" s="3">
        <v>349</v>
      </c>
      <c r="J409" s="4">
        <v>25</v>
      </c>
      <c r="K409" s="3">
        <v>262</v>
      </c>
      <c r="L409" s="3">
        <v>262</v>
      </c>
      <c r="M409" t="s">
        <v>28</v>
      </c>
      <c r="N409" t="s">
        <v>29</v>
      </c>
      <c r="O409" s="3">
        <v>65</v>
      </c>
      <c r="P409" t="s">
        <v>30</v>
      </c>
      <c r="Q409" s="3">
        <v>17.309999999999999</v>
      </c>
      <c r="R409" s="3">
        <v>131.85</v>
      </c>
      <c r="S409" s="3">
        <v>47.84</v>
      </c>
      <c r="T409" s="3">
        <v>262</v>
      </c>
      <c r="U409" s="3">
        <v>3</v>
      </c>
      <c r="V409" t="s">
        <v>57</v>
      </c>
    </row>
    <row r="410" spans="1:22" x14ac:dyDescent="0.3">
      <c r="A410" t="s">
        <v>494</v>
      </c>
      <c r="B410" s="1">
        <v>46239</v>
      </c>
      <c r="C410" t="s">
        <v>67</v>
      </c>
      <c r="D410" t="s">
        <v>115</v>
      </c>
      <c r="E410" t="s">
        <v>116</v>
      </c>
      <c r="F410" t="s">
        <v>68</v>
      </c>
      <c r="G410" t="s">
        <v>27</v>
      </c>
      <c r="H410">
        <v>1</v>
      </c>
      <c r="I410" s="3">
        <v>249</v>
      </c>
      <c r="J410" s="4">
        <v>35</v>
      </c>
      <c r="K410" s="3">
        <v>162</v>
      </c>
      <c r="L410" s="3">
        <v>162</v>
      </c>
      <c r="M410" t="s">
        <v>28</v>
      </c>
      <c r="N410" t="s">
        <v>37</v>
      </c>
      <c r="O410" s="3">
        <v>55</v>
      </c>
      <c r="P410" t="s">
        <v>30</v>
      </c>
      <c r="Q410" s="3">
        <v>10.95</v>
      </c>
      <c r="R410" s="3">
        <v>72.13</v>
      </c>
      <c r="S410" s="3">
        <v>23.92</v>
      </c>
      <c r="T410" s="3">
        <v>162</v>
      </c>
      <c r="U410" s="3">
        <v>32</v>
      </c>
      <c r="V410" t="s">
        <v>71</v>
      </c>
    </row>
    <row r="411" spans="1:22" x14ac:dyDescent="0.3">
      <c r="A411" t="s">
        <v>495</v>
      </c>
      <c r="B411" s="1">
        <v>46084</v>
      </c>
      <c r="C411" t="s">
        <v>39</v>
      </c>
      <c r="D411" t="s">
        <v>24</v>
      </c>
      <c r="E411" t="s">
        <v>25</v>
      </c>
      <c r="F411" t="s">
        <v>42</v>
      </c>
      <c r="G411" t="s">
        <v>27</v>
      </c>
      <c r="H411">
        <v>3</v>
      </c>
      <c r="I411" s="3">
        <v>349</v>
      </c>
      <c r="J411" s="4">
        <v>20</v>
      </c>
      <c r="K411" s="3">
        <v>279</v>
      </c>
      <c r="L411" s="3">
        <v>837</v>
      </c>
      <c r="M411" t="s">
        <v>28</v>
      </c>
      <c r="N411" t="s">
        <v>37</v>
      </c>
      <c r="O411" s="3">
        <v>55</v>
      </c>
      <c r="P411" t="s">
        <v>30</v>
      </c>
      <c r="Q411" s="3">
        <v>45.69</v>
      </c>
      <c r="R411" s="3">
        <v>405.19</v>
      </c>
      <c r="S411" s="3">
        <v>331.12</v>
      </c>
      <c r="T411" s="3">
        <v>279</v>
      </c>
      <c r="U411" s="3">
        <v>10</v>
      </c>
      <c r="V411" t="s">
        <v>43</v>
      </c>
    </row>
    <row r="412" spans="1:22" x14ac:dyDescent="0.3">
      <c r="A412" t="s">
        <v>496</v>
      </c>
      <c r="B412" s="1">
        <v>46106</v>
      </c>
      <c r="C412" t="s">
        <v>39</v>
      </c>
      <c r="D412" t="s">
        <v>53</v>
      </c>
      <c r="E412" t="s">
        <v>54</v>
      </c>
      <c r="F412" t="s">
        <v>68</v>
      </c>
      <c r="G412" t="s">
        <v>27</v>
      </c>
      <c r="H412">
        <v>2</v>
      </c>
      <c r="I412" s="3">
        <v>499</v>
      </c>
      <c r="J412" s="4">
        <v>15</v>
      </c>
      <c r="K412" s="3">
        <v>424</v>
      </c>
      <c r="L412" s="3">
        <v>848</v>
      </c>
      <c r="M412" t="s">
        <v>69</v>
      </c>
      <c r="N412" t="s">
        <v>37</v>
      </c>
      <c r="O412" s="3">
        <v>35</v>
      </c>
      <c r="P412" t="s">
        <v>70</v>
      </c>
      <c r="Q412" s="3">
        <v>34.630000000000003</v>
      </c>
      <c r="R412" s="3">
        <v>382.94</v>
      </c>
      <c r="S412" s="3">
        <v>395.43</v>
      </c>
      <c r="T412" s="3">
        <v>424</v>
      </c>
      <c r="U412" s="3">
        <v>13</v>
      </c>
      <c r="V412" t="s">
        <v>43</v>
      </c>
    </row>
    <row r="413" spans="1:22" x14ac:dyDescent="0.3">
      <c r="A413" t="s">
        <v>497</v>
      </c>
      <c r="B413" s="1">
        <v>46239</v>
      </c>
      <c r="C413" t="s">
        <v>67</v>
      </c>
      <c r="D413" t="s">
        <v>53</v>
      </c>
      <c r="E413" t="s">
        <v>54</v>
      </c>
      <c r="F413" t="s">
        <v>109</v>
      </c>
      <c r="G413" t="s">
        <v>110</v>
      </c>
      <c r="H413">
        <v>1</v>
      </c>
      <c r="I413" s="3">
        <v>499</v>
      </c>
      <c r="J413" s="4">
        <v>40</v>
      </c>
      <c r="K413" s="3">
        <v>299</v>
      </c>
      <c r="L413" s="3">
        <v>299</v>
      </c>
      <c r="M413" t="s">
        <v>28</v>
      </c>
      <c r="N413" t="s">
        <v>37</v>
      </c>
      <c r="O413" s="3">
        <v>65</v>
      </c>
      <c r="P413" t="s">
        <v>30</v>
      </c>
      <c r="Q413" s="3">
        <v>21</v>
      </c>
      <c r="R413" s="3">
        <v>139.16</v>
      </c>
      <c r="S413" s="3">
        <v>73.84</v>
      </c>
      <c r="T413" s="3">
        <v>299</v>
      </c>
      <c r="U413" s="3">
        <v>32</v>
      </c>
      <c r="V413" t="s">
        <v>71</v>
      </c>
    </row>
    <row r="414" spans="1:22" x14ac:dyDescent="0.3">
      <c r="A414" t="s">
        <v>498</v>
      </c>
      <c r="B414" s="1">
        <v>46209</v>
      </c>
      <c r="C414" t="s">
        <v>45</v>
      </c>
      <c r="D414" t="s">
        <v>112</v>
      </c>
      <c r="E414" t="s">
        <v>47</v>
      </c>
      <c r="F414" t="s">
        <v>48</v>
      </c>
      <c r="G414" t="s">
        <v>49</v>
      </c>
      <c r="H414">
        <v>1</v>
      </c>
      <c r="I414" s="3">
        <v>299</v>
      </c>
      <c r="J414" s="4">
        <v>10</v>
      </c>
      <c r="K414" s="3">
        <v>269</v>
      </c>
      <c r="L414" s="3">
        <v>269</v>
      </c>
      <c r="M414" t="s">
        <v>28</v>
      </c>
      <c r="N414" t="s">
        <v>37</v>
      </c>
      <c r="O414" s="3">
        <v>55</v>
      </c>
      <c r="P414" t="s">
        <v>30</v>
      </c>
      <c r="Q414" s="3">
        <v>14.48</v>
      </c>
      <c r="R414" s="3">
        <v>134.91999999999999</v>
      </c>
      <c r="S414" s="3">
        <v>64.599999999999994</v>
      </c>
      <c r="T414" s="3">
        <v>269</v>
      </c>
      <c r="U414" s="3">
        <v>28</v>
      </c>
      <c r="V414" t="s">
        <v>50</v>
      </c>
    </row>
    <row r="415" spans="1:22" x14ac:dyDescent="0.3">
      <c r="A415" t="s">
        <v>499</v>
      </c>
      <c r="B415" s="1">
        <v>46041</v>
      </c>
      <c r="C415" t="s">
        <v>52</v>
      </c>
      <c r="D415" t="s">
        <v>93</v>
      </c>
      <c r="E415" t="s">
        <v>47</v>
      </c>
      <c r="F415" t="s">
        <v>35</v>
      </c>
      <c r="G415" t="s">
        <v>36</v>
      </c>
      <c r="H415">
        <v>1</v>
      </c>
      <c r="I415" s="3">
        <v>699</v>
      </c>
      <c r="J415" s="4">
        <v>10</v>
      </c>
      <c r="K415" s="3">
        <v>629</v>
      </c>
      <c r="L415" s="3">
        <v>629</v>
      </c>
      <c r="M415" t="s">
        <v>28</v>
      </c>
      <c r="N415" t="s">
        <v>37</v>
      </c>
      <c r="O415" s="3">
        <v>55</v>
      </c>
      <c r="P415" t="s">
        <v>30</v>
      </c>
      <c r="Q415" s="3">
        <v>36.53</v>
      </c>
      <c r="R415" s="3">
        <v>286.49</v>
      </c>
      <c r="S415" s="3">
        <v>250.98</v>
      </c>
      <c r="T415" s="3">
        <v>629</v>
      </c>
      <c r="U415" s="3">
        <v>4</v>
      </c>
      <c r="V415" t="s">
        <v>57</v>
      </c>
    </row>
    <row r="416" spans="1:22" x14ac:dyDescent="0.3">
      <c r="A416" t="s">
        <v>500</v>
      </c>
      <c r="B416" s="1">
        <v>46199</v>
      </c>
      <c r="C416" t="s">
        <v>78</v>
      </c>
      <c r="D416" t="s">
        <v>40</v>
      </c>
      <c r="E416" t="s">
        <v>41</v>
      </c>
      <c r="F416" t="s">
        <v>48</v>
      </c>
      <c r="G416" t="s">
        <v>49</v>
      </c>
      <c r="H416">
        <v>1</v>
      </c>
      <c r="I416" s="3">
        <v>449</v>
      </c>
      <c r="J416" s="4">
        <v>20</v>
      </c>
      <c r="K416" s="3">
        <v>359</v>
      </c>
      <c r="L416" s="3">
        <v>359</v>
      </c>
      <c r="M416" t="s">
        <v>76</v>
      </c>
      <c r="N416" t="s">
        <v>37</v>
      </c>
      <c r="O416" s="3">
        <v>65</v>
      </c>
      <c r="P416" t="s">
        <v>30</v>
      </c>
      <c r="Q416" s="3">
        <v>20.93</v>
      </c>
      <c r="R416" s="3">
        <v>165.03</v>
      </c>
      <c r="S416" s="3">
        <v>108.04</v>
      </c>
      <c r="T416" s="3">
        <v>359</v>
      </c>
      <c r="U416" s="3">
        <v>26</v>
      </c>
      <c r="V416" t="s">
        <v>81</v>
      </c>
    </row>
    <row r="417" spans="1:22" x14ac:dyDescent="0.3">
      <c r="A417" t="s">
        <v>501</v>
      </c>
      <c r="B417" s="1">
        <v>46122</v>
      </c>
      <c r="C417" t="s">
        <v>23</v>
      </c>
      <c r="D417" t="s">
        <v>53</v>
      </c>
      <c r="E417" t="s">
        <v>54</v>
      </c>
      <c r="F417" t="s">
        <v>68</v>
      </c>
      <c r="G417" t="s">
        <v>27</v>
      </c>
      <c r="H417">
        <v>1</v>
      </c>
      <c r="I417" s="3">
        <v>499</v>
      </c>
      <c r="J417" s="4">
        <v>10</v>
      </c>
      <c r="K417" s="3">
        <v>449</v>
      </c>
      <c r="L417" s="3">
        <v>449</v>
      </c>
      <c r="M417" t="s">
        <v>28</v>
      </c>
      <c r="N417" t="s">
        <v>29</v>
      </c>
      <c r="O417" s="3">
        <v>45</v>
      </c>
      <c r="P417" t="s">
        <v>30</v>
      </c>
      <c r="Q417" s="3">
        <v>26.53</v>
      </c>
      <c r="R417" s="3">
        <v>215.6</v>
      </c>
      <c r="S417" s="3">
        <v>161.87</v>
      </c>
      <c r="T417" s="3">
        <v>449</v>
      </c>
      <c r="U417" s="3">
        <v>15</v>
      </c>
      <c r="V417" t="s">
        <v>31</v>
      </c>
    </row>
    <row r="418" spans="1:22" x14ac:dyDescent="0.3">
      <c r="A418" t="s">
        <v>502</v>
      </c>
      <c r="B418" s="1">
        <v>46255</v>
      </c>
      <c r="C418" t="s">
        <v>67</v>
      </c>
      <c r="D418" t="s">
        <v>112</v>
      </c>
      <c r="E418" t="s">
        <v>47</v>
      </c>
      <c r="F418" t="s">
        <v>35</v>
      </c>
      <c r="G418" t="s">
        <v>36</v>
      </c>
      <c r="H418">
        <v>1</v>
      </c>
      <c r="I418" s="3">
        <v>299</v>
      </c>
      <c r="J418" s="4">
        <v>10</v>
      </c>
      <c r="K418" s="3">
        <v>269</v>
      </c>
      <c r="L418" s="3">
        <v>269</v>
      </c>
      <c r="M418" t="s">
        <v>76</v>
      </c>
      <c r="N418" t="s">
        <v>37</v>
      </c>
      <c r="O418" s="3">
        <v>65</v>
      </c>
      <c r="P418" t="s">
        <v>30</v>
      </c>
      <c r="Q418" s="3">
        <v>18.66</v>
      </c>
      <c r="R418" s="3">
        <v>118.6</v>
      </c>
      <c r="S418" s="3">
        <v>66.739999999999995</v>
      </c>
      <c r="T418" s="3">
        <v>269</v>
      </c>
      <c r="U418" s="3">
        <v>34</v>
      </c>
      <c r="V418" t="s">
        <v>71</v>
      </c>
    </row>
    <row r="419" spans="1:22" x14ac:dyDescent="0.3">
      <c r="A419" t="s">
        <v>503</v>
      </c>
      <c r="B419" s="1">
        <v>46098</v>
      </c>
      <c r="C419" t="s">
        <v>39</v>
      </c>
      <c r="D419" t="s">
        <v>93</v>
      </c>
      <c r="E419" t="s">
        <v>47</v>
      </c>
      <c r="F419" t="s">
        <v>55</v>
      </c>
      <c r="G419" t="s">
        <v>56</v>
      </c>
      <c r="H419">
        <v>1</v>
      </c>
      <c r="I419" s="3">
        <v>699</v>
      </c>
      <c r="J419" s="4">
        <v>35</v>
      </c>
      <c r="K419" s="3">
        <v>454</v>
      </c>
      <c r="L419" s="3">
        <v>454</v>
      </c>
      <c r="M419" t="s">
        <v>28</v>
      </c>
      <c r="N419" t="s">
        <v>37</v>
      </c>
      <c r="O419" s="3">
        <v>35</v>
      </c>
      <c r="P419" t="s">
        <v>30</v>
      </c>
      <c r="Q419" s="3">
        <v>22.78</v>
      </c>
      <c r="R419" s="3">
        <v>204.09</v>
      </c>
      <c r="S419" s="3">
        <v>192.13</v>
      </c>
      <c r="T419" s="3">
        <v>454</v>
      </c>
      <c r="U419" s="3">
        <v>12</v>
      </c>
      <c r="V419" t="s">
        <v>43</v>
      </c>
    </row>
    <row r="420" spans="1:22" x14ac:dyDescent="0.3">
      <c r="A420" t="s">
        <v>504</v>
      </c>
      <c r="B420" s="1">
        <v>46287</v>
      </c>
      <c r="C420" t="s">
        <v>86</v>
      </c>
      <c r="D420" t="s">
        <v>33</v>
      </c>
      <c r="E420" t="s">
        <v>34</v>
      </c>
      <c r="F420" t="s">
        <v>48</v>
      </c>
      <c r="G420" t="s">
        <v>49</v>
      </c>
      <c r="H420">
        <v>1</v>
      </c>
      <c r="I420" s="3">
        <v>599</v>
      </c>
      <c r="J420" s="4">
        <v>15</v>
      </c>
      <c r="K420" s="3">
        <v>509</v>
      </c>
      <c r="L420" s="3">
        <v>509</v>
      </c>
      <c r="M420" t="s">
        <v>28</v>
      </c>
      <c r="N420" t="s">
        <v>29</v>
      </c>
      <c r="O420" s="3">
        <v>55</v>
      </c>
      <c r="P420" t="s">
        <v>30</v>
      </c>
      <c r="Q420" s="3">
        <v>38.07</v>
      </c>
      <c r="R420" s="3">
        <v>232.69</v>
      </c>
      <c r="S420" s="3">
        <v>183.24</v>
      </c>
      <c r="T420" s="3">
        <v>509</v>
      </c>
      <c r="U420" s="3">
        <v>39</v>
      </c>
      <c r="V420" t="s">
        <v>87</v>
      </c>
    </row>
    <row r="421" spans="1:22" x14ac:dyDescent="0.3">
      <c r="A421" t="s">
        <v>505</v>
      </c>
      <c r="B421" s="1">
        <v>46228</v>
      </c>
      <c r="C421" t="s">
        <v>45</v>
      </c>
      <c r="D421" t="s">
        <v>115</v>
      </c>
      <c r="E421" t="s">
        <v>116</v>
      </c>
      <c r="F421" t="s">
        <v>68</v>
      </c>
      <c r="G421" t="s">
        <v>27</v>
      </c>
      <c r="H421">
        <v>1</v>
      </c>
      <c r="I421" s="3">
        <v>249</v>
      </c>
      <c r="J421" s="4">
        <v>20</v>
      </c>
      <c r="K421" s="3">
        <v>199</v>
      </c>
      <c r="L421" s="3">
        <v>199</v>
      </c>
      <c r="M421" t="s">
        <v>28</v>
      </c>
      <c r="N421" t="s">
        <v>29</v>
      </c>
      <c r="O421" s="3">
        <v>45</v>
      </c>
      <c r="P421" t="s">
        <v>30</v>
      </c>
      <c r="Q421" s="3">
        <v>11.76</v>
      </c>
      <c r="R421" s="3">
        <v>96.12</v>
      </c>
      <c r="S421" s="3">
        <v>46.12</v>
      </c>
      <c r="T421" s="3">
        <v>199</v>
      </c>
      <c r="U421" s="3">
        <v>30</v>
      </c>
      <c r="V421" t="s">
        <v>50</v>
      </c>
    </row>
    <row r="422" spans="1:22" x14ac:dyDescent="0.3">
      <c r="A422" t="s">
        <v>506</v>
      </c>
      <c r="B422" s="1">
        <v>46245</v>
      </c>
      <c r="C422" t="s">
        <v>67</v>
      </c>
      <c r="D422" t="s">
        <v>46</v>
      </c>
      <c r="E422" t="s">
        <v>47</v>
      </c>
      <c r="F422" t="s">
        <v>68</v>
      </c>
      <c r="G422" t="s">
        <v>27</v>
      </c>
      <c r="H422">
        <v>1</v>
      </c>
      <c r="I422" s="3">
        <v>899</v>
      </c>
      <c r="J422" s="4">
        <v>40</v>
      </c>
      <c r="K422" s="3">
        <v>539</v>
      </c>
      <c r="L422" s="3">
        <v>539</v>
      </c>
      <c r="M422" t="s">
        <v>28</v>
      </c>
      <c r="N422" t="s">
        <v>37</v>
      </c>
      <c r="O422" s="3">
        <v>45</v>
      </c>
      <c r="P422" t="s">
        <v>30</v>
      </c>
      <c r="Q422" s="3">
        <v>42.86</v>
      </c>
      <c r="R422" s="3">
        <v>243.93</v>
      </c>
      <c r="S422" s="3">
        <v>207.21</v>
      </c>
      <c r="T422" s="3">
        <v>539</v>
      </c>
      <c r="U422" s="3">
        <v>33</v>
      </c>
      <c r="V422" t="s">
        <v>71</v>
      </c>
    </row>
    <row r="423" spans="1:22" x14ac:dyDescent="0.3">
      <c r="A423" t="s">
        <v>507</v>
      </c>
      <c r="B423" s="1">
        <v>46074</v>
      </c>
      <c r="C423" t="s">
        <v>95</v>
      </c>
      <c r="D423" t="s">
        <v>59</v>
      </c>
      <c r="E423" t="s">
        <v>60</v>
      </c>
      <c r="F423" t="s">
        <v>79</v>
      </c>
      <c r="G423" t="s">
        <v>80</v>
      </c>
      <c r="H423">
        <v>2</v>
      </c>
      <c r="I423" s="3">
        <v>299</v>
      </c>
      <c r="J423" s="4">
        <v>20</v>
      </c>
      <c r="K423" s="3">
        <v>239</v>
      </c>
      <c r="L423" s="3">
        <v>478</v>
      </c>
      <c r="M423" t="s">
        <v>28</v>
      </c>
      <c r="N423" t="s">
        <v>37</v>
      </c>
      <c r="O423" s="3">
        <v>45</v>
      </c>
      <c r="P423" t="s">
        <v>30</v>
      </c>
      <c r="Q423" s="3">
        <v>37.020000000000003</v>
      </c>
      <c r="R423" s="3">
        <v>232.89</v>
      </c>
      <c r="S423" s="3">
        <v>163.09</v>
      </c>
      <c r="T423" s="3">
        <v>239</v>
      </c>
      <c r="U423" s="3">
        <v>8</v>
      </c>
      <c r="V423" t="s">
        <v>96</v>
      </c>
    </row>
    <row r="424" spans="1:22" x14ac:dyDescent="0.3">
      <c r="A424" t="s">
        <v>508</v>
      </c>
      <c r="B424" s="1">
        <v>46166</v>
      </c>
      <c r="C424" t="s">
        <v>62</v>
      </c>
      <c r="D424" t="s">
        <v>63</v>
      </c>
      <c r="E424" t="s">
        <v>47</v>
      </c>
      <c r="F424" t="s">
        <v>109</v>
      </c>
      <c r="G424" t="s">
        <v>110</v>
      </c>
      <c r="H424">
        <v>1</v>
      </c>
      <c r="I424" s="3">
        <v>399</v>
      </c>
      <c r="J424" s="4">
        <v>15</v>
      </c>
      <c r="K424" s="3">
        <v>339</v>
      </c>
      <c r="L424" s="3">
        <v>339</v>
      </c>
      <c r="M424" t="s">
        <v>102</v>
      </c>
      <c r="N424" t="s">
        <v>37</v>
      </c>
      <c r="O424" s="3">
        <v>65</v>
      </c>
      <c r="P424" t="s">
        <v>30</v>
      </c>
      <c r="Q424" s="3">
        <v>24.6</v>
      </c>
      <c r="R424" s="3">
        <v>151.88</v>
      </c>
      <c r="S424" s="3">
        <v>97.52</v>
      </c>
      <c r="T424" s="3">
        <v>339</v>
      </c>
      <c r="U424" s="3">
        <v>21</v>
      </c>
      <c r="V424" t="s">
        <v>65</v>
      </c>
    </row>
    <row r="425" spans="1:22" x14ac:dyDescent="0.3">
      <c r="A425" t="s">
        <v>509</v>
      </c>
      <c r="B425" s="1">
        <v>46091</v>
      </c>
      <c r="C425" t="s">
        <v>39</v>
      </c>
      <c r="D425" t="s">
        <v>46</v>
      </c>
      <c r="E425" t="s">
        <v>47</v>
      </c>
      <c r="F425" t="s">
        <v>35</v>
      </c>
      <c r="G425" t="s">
        <v>36</v>
      </c>
      <c r="H425">
        <v>1</v>
      </c>
      <c r="I425" s="3">
        <v>899</v>
      </c>
      <c r="J425" s="4">
        <v>10</v>
      </c>
      <c r="K425" s="3">
        <v>809</v>
      </c>
      <c r="L425" s="3">
        <v>809</v>
      </c>
      <c r="M425" t="s">
        <v>28</v>
      </c>
      <c r="N425" t="s">
        <v>37</v>
      </c>
      <c r="O425" s="3">
        <v>55</v>
      </c>
      <c r="P425" t="s">
        <v>30</v>
      </c>
      <c r="Q425" s="3">
        <v>61.56</v>
      </c>
      <c r="R425" s="3">
        <v>370.78</v>
      </c>
      <c r="S425" s="3">
        <v>321.66000000000003</v>
      </c>
      <c r="T425" s="3">
        <v>809</v>
      </c>
      <c r="U425" s="3">
        <v>11</v>
      </c>
      <c r="V425" t="s">
        <v>43</v>
      </c>
    </row>
    <row r="426" spans="1:22" x14ac:dyDescent="0.3">
      <c r="A426" t="s">
        <v>510</v>
      </c>
      <c r="B426" s="1">
        <v>46121</v>
      </c>
      <c r="C426" t="s">
        <v>23</v>
      </c>
      <c r="D426" t="s">
        <v>93</v>
      </c>
      <c r="E426" t="s">
        <v>47</v>
      </c>
      <c r="F426" t="s">
        <v>68</v>
      </c>
      <c r="G426" t="s">
        <v>27</v>
      </c>
      <c r="H426">
        <v>1</v>
      </c>
      <c r="I426" s="3">
        <v>699</v>
      </c>
      <c r="J426" s="4">
        <v>15</v>
      </c>
      <c r="K426" s="3">
        <v>594</v>
      </c>
      <c r="L426" s="3">
        <v>594</v>
      </c>
      <c r="M426" t="s">
        <v>28</v>
      </c>
      <c r="N426" t="s">
        <v>29</v>
      </c>
      <c r="O426" s="3">
        <v>45</v>
      </c>
      <c r="P426" t="s">
        <v>30</v>
      </c>
      <c r="Q426" s="3">
        <v>42.76</v>
      </c>
      <c r="R426" s="3">
        <v>282.43</v>
      </c>
      <c r="S426" s="3">
        <v>223.81</v>
      </c>
      <c r="T426" s="3">
        <v>594</v>
      </c>
      <c r="U426" s="3">
        <v>15</v>
      </c>
      <c r="V426" t="s">
        <v>31</v>
      </c>
    </row>
    <row r="427" spans="1:22" x14ac:dyDescent="0.3">
      <c r="A427" t="s">
        <v>511</v>
      </c>
      <c r="B427" s="1">
        <v>46047</v>
      </c>
      <c r="C427" t="s">
        <v>52</v>
      </c>
      <c r="D427" t="s">
        <v>112</v>
      </c>
      <c r="E427" t="s">
        <v>47</v>
      </c>
      <c r="F427" t="s">
        <v>68</v>
      </c>
      <c r="G427" t="s">
        <v>27</v>
      </c>
      <c r="H427">
        <v>2</v>
      </c>
      <c r="I427" s="3">
        <v>299</v>
      </c>
      <c r="J427" s="4">
        <v>25</v>
      </c>
      <c r="K427" s="3">
        <v>224</v>
      </c>
      <c r="L427" s="3">
        <v>448</v>
      </c>
      <c r="M427" t="s">
        <v>28</v>
      </c>
      <c r="N427" t="s">
        <v>37</v>
      </c>
      <c r="O427" s="3">
        <v>65</v>
      </c>
      <c r="P427" t="s">
        <v>30</v>
      </c>
      <c r="Q427" s="3">
        <v>33.44</v>
      </c>
      <c r="R427" s="3">
        <v>195.54</v>
      </c>
      <c r="S427" s="3">
        <v>154.02000000000001</v>
      </c>
      <c r="T427" s="3">
        <v>224</v>
      </c>
      <c r="U427" s="3">
        <v>4</v>
      </c>
      <c r="V427" t="s">
        <v>57</v>
      </c>
    </row>
    <row r="428" spans="1:22" x14ac:dyDescent="0.3">
      <c r="A428" t="s">
        <v>512</v>
      </c>
      <c r="B428" s="1">
        <v>46075</v>
      </c>
      <c r="C428" t="s">
        <v>95</v>
      </c>
      <c r="D428" t="s">
        <v>74</v>
      </c>
      <c r="E428" t="s">
        <v>75</v>
      </c>
      <c r="F428" t="s">
        <v>55</v>
      </c>
      <c r="G428" t="s">
        <v>56</v>
      </c>
      <c r="H428">
        <v>1</v>
      </c>
      <c r="I428" s="3">
        <v>549</v>
      </c>
      <c r="J428" s="4">
        <v>5</v>
      </c>
      <c r="K428" s="3">
        <v>522</v>
      </c>
      <c r="L428" s="3">
        <v>522</v>
      </c>
      <c r="M428" t="s">
        <v>64</v>
      </c>
      <c r="N428" t="s">
        <v>37</v>
      </c>
      <c r="O428" s="3">
        <v>35</v>
      </c>
      <c r="P428" t="s">
        <v>30</v>
      </c>
      <c r="Q428" s="3">
        <v>33.5</v>
      </c>
      <c r="R428" s="3">
        <v>259.10000000000002</v>
      </c>
      <c r="S428" s="3">
        <v>194.4</v>
      </c>
      <c r="T428" s="3">
        <v>522</v>
      </c>
      <c r="U428" s="3">
        <v>8</v>
      </c>
      <c r="V428" t="s">
        <v>96</v>
      </c>
    </row>
    <row r="429" spans="1:22" x14ac:dyDescent="0.3">
      <c r="A429" t="s">
        <v>513</v>
      </c>
      <c r="B429" s="1">
        <v>46173</v>
      </c>
      <c r="C429" t="s">
        <v>62</v>
      </c>
      <c r="D429" t="s">
        <v>24</v>
      </c>
      <c r="E429" t="s">
        <v>25</v>
      </c>
      <c r="F429" t="s">
        <v>55</v>
      </c>
      <c r="G429" t="s">
        <v>56</v>
      </c>
      <c r="H429">
        <v>1</v>
      </c>
      <c r="I429" s="3">
        <v>349</v>
      </c>
      <c r="J429" s="4">
        <v>25</v>
      </c>
      <c r="K429" s="3">
        <v>262</v>
      </c>
      <c r="L429" s="3">
        <v>262</v>
      </c>
      <c r="M429" t="s">
        <v>28</v>
      </c>
      <c r="N429" t="s">
        <v>37</v>
      </c>
      <c r="O429" s="3">
        <v>55</v>
      </c>
      <c r="P429" t="s">
        <v>30</v>
      </c>
      <c r="Q429" s="3">
        <v>12.41</v>
      </c>
      <c r="R429" s="3">
        <v>115.34</v>
      </c>
      <c r="S429" s="3">
        <v>79.25</v>
      </c>
      <c r="T429" s="3">
        <v>262</v>
      </c>
      <c r="U429" s="3">
        <v>22</v>
      </c>
      <c r="V429" t="s">
        <v>65</v>
      </c>
    </row>
    <row r="430" spans="1:22" x14ac:dyDescent="0.3">
      <c r="A430" t="s">
        <v>514</v>
      </c>
      <c r="B430" s="1">
        <v>46166</v>
      </c>
      <c r="C430" t="s">
        <v>62</v>
      </c>
      <c r="D430" t="s">
        <v>112</v>
      </c>
      <c r="E430" t="s">
        <v>47</v>
      </c>
      <c r="F430" t="s">
        <v>109</v>
      </c>
      <c r="G430" t="s">
        <v>110</v>
      </c>
      <c r="H430">
        <v>1</v>
      </c>
      <c r="I430" s="3">
        <v>299</v>
      </c>
      <c r="J430" s="4">
        <v>20</v>
      </c>
      <c r="K430" s="3">
        <v>239</v>
      </c>
      <c r="L430" s="3">
        <v>239</v>
      </c>
      <c r="M430" t="s">
        <v>28</v>
      </c>
      <c r="N430" t="s">
        <v>37</v>
      </c>
      <c r="O430" s="3">
        <v>55</v>
      </c>
      <c r="P430" t="s">
        <v>30</v>
      </c>
      <c r="Q430" s="3">
        <v>11.42</v>
      </c>
      <c r="R430" s="3">
        <v>111.72</v>
      </c>
      <c r="S430" s="3">
        <v>60.86</v>
      </c>
      <c r="T430" s="3">
        <v>239</v>
      </c>
      <c r="U430" s="3">
        <v>21</v>
      </c>
      <c r="V430" t="s">
        <v>65</v>
      </c>
    </row>
    <row r="431" spans="1:22" x14ac:dyDescent="0.3">
      <c r="A431" t="s">
        <v>515</v>
      </c>
      <c r="B431" s="1">
        <v>46079</v>
      </c>
      <c r="C431" t="s">
        <v>95</v>
      </c>
      <c r="D431" t="s">
        <v>74</v>
      </c>
      <c r="E431" t="s">
        <v>75</v>
      </c>
      <c r="F431" t="s">
        <v>79</v>
      </c>
      <c r="G431" t="s">
        <v>80</v>
      </c>
      <c r="H431">
        <v>1</v>
      </c>
      <c r="I431" s="3">
        <v>549</v>
      </c>
      <c r="J431" s="4">
        <v>25</v>
      </c>
      <c r="K431" s="3">
        <v>412</v>
      </c>
      <c r="L431" s="3">
        <v>412</v>
      </c>
      <c r="M431" t="s">
        <v>102</v>
      </c>
      <c r="N431" t="s">
        <v>29</v>
      </c>
      <c r="O431" s="3">
        <v>65</v>
      </c>
      <c r="P431" t="s">
        <v>30</v>
      </c>
      <c r="Q431" s="3">
        <v>20.73</v>
      </c>
      <c r="R431" s="3">
        <v>177.72</v>
      </c>
      <c r="S431" s="3">
        <v>148.55000000000001</v>
      </c>
      <c r="T431" s="3">
        <v>412</v>
      </c>
      <c r="U431" s="3">
        <v>9</v>
      </c>
      <c r="V431" t="s">
        <v>96</v>
      </c>
    </row>
    <row r="432" spans="1:22" x14ac:dyDescent="0.3">
      <c r="A432" t="s">
        <v>516</v>
      </c>
      <c r="B432" s="1">
        <v>46061</v>
      </c>
      <c r="C432" t="s">
        <v>95</v>
      </c>
      <c r="D432" t="s">
        <v>115</v>
      </c>
      <c r="E432" t="s">
        <v>116</v>
      </c>
      <c r="F432" t="s">
        <v>109</v>
      </c>
      <c r="G432" t="s">
        <v>110</v>
      </c>
      <c r="H432">
        <v>2</v>
      </c>
      <c r="I432" s="3">
        <v>249</v>
      </c>
      <c r="J432" s="4">
        <v>35</v>
      </c>
      <c r="K432" s="3">
        <v>162</v>
      </c>
      <c r="L432" s="3">
        <v>324</v>
      </c>
      <c r="M432" t="s">
        <v>28</v>
      </c>
      <c r="N432" t="s">
        <v>29</v>
      </c>
      <c r="O432" s="3">
        <v>65</v>
      </c>
      <c r="P432" t="s">
        <v>30</v>
      </c>
      <c r="Q432" s="3">
        <v>13.55</v>
      </c>
      <c r="R432" s="3">
        <v>166.73</v>
      </c>
      <c r="S432" s="3">
        <v>78.72</v>
      </c>
      <c r="T432" s="3">
        <v>162</v>
      </c>
      <c r="U432" s="3">
        <v>6</v>
      </c>
      <c r="V432" t="s">
        <v>96</v>
      </c>
    </row>
    <row r="433" spans="1:22" x14ac:dyDescent="0.3">
      <c r="A433" t="s">
        <v>517</v>
      </c>
      <c r="B433" s="1">
        <v>46131</v>
      </c>
      <c r="C433" t="s">
        <v>23</v>
      </c>
      <c r="D433" t="s">
        <v>40</v>
      </c>
      <c r="E433" t="s">
        <v>41</v>
      </c>
      <c r="F433" t="s">
        <v>42</v>
      </c>
      <c r="G433" t="s">
        <v>27</v>
      </c>
      <c r="H433">
        <v>1</v>
      </c>
      <c r="I433" s="3">
        <v>449</v>
      </c>
      <c r="J433" s="4">
        <v>10</v>
      </c>
      <c r="K433" s="3">
        <v>404</v>
      </c>
      <c r="L433" s="3">
        <v>404</v>
      </c>
      <c r="M433" t="s">
        <v>28</v>
      </c>
      <c r="N433" t="s">
        <v>37</v>
      </c>
      <c r="O433" s="3">
        <v>45</v>
      </c>
      <c r="P433" t="s">
        <v>30</v>
      </c>
      <c r="Q433" s="3">
        <v>28.39</v>
      </c>
      <c r="R433" s="3">
        <v>197.17</v>
      </c>
      <c r="S433" s="3">
        <v>133.44</v>
      </c>
      <c r="T433" s="3">
        <v>404</v>
      </c>
      <c r="U433" s="3">
        <v>16</v>
      </c>
      <c r="V433" t="s">
        <v>31</v>
      </c>
    </row>
    <row r="434" spans="1:22" x14ac:dyDescent="0.3">
      <c r="A434" t="s">
        <v>518</v>
      </c>
      <c r="B434" s="1">
        <v>46203</v>
      </c>
      <c r="C434" t="s">
        <v>78</v>
      </c>
      <c r="D434" t="s">
        <v>115</v>
      </c>
      <c r="E434" t="s">
        <v>116</v>
      </c>
      <c r="F434" t="s">
        <v>109</v>
      </c>
      <c r="G434" t="s">
        <v>110</v>
      </c>
      <c r="H434">
        <v>1</v>
      </c>
      <c r="I434" s="3">
        <v>249</v>
      </c>
      <c r="J434" s="4">
        <v>40</v>
      </c>
      <c r="K434" s="3">
        <v>149</v>
      </c>
      <c r="L434" s="3">
        <v>149</v>
      </c>
      <c r="M434" t="s">
        <v>28</v>
      </c>
      <c r="N434" t="s">
        <v>29</v>
      </c>
      <c r="O434" s="3">
        <v>35</v>
      </c>
      <c r="P434" t="s">
        <v>30</v>
      </c>
      <c r="Q434" s="3">
        <v>6.5</v>
      </c>
      <c r="R434" s="3">
        <v>66.84</v>
      </c>
      <c r="S434" s="3">
        <v>40.659999999999997</v>
      </c>
      <c r="T434" s="3">
        <v>149</v>
      </c>
      <c r="U434" s="3">
        <v>27</v>
      </c>
      <c r="V434" t="s">
        <v>81</v>
      </c>
    </row>
    <row r="435" spans="1:22" x14ac:dyDescent="0.3">
      <c r="A435" t="s">
        <v>519</v>
      </c>
      <c r="B435" s="1">
        <v>46064</v>
      </c>
      <c r="C435" t="s">
        <v>95</v>
      </c>
      <c r="D435" t="s">
        <v>53</v>
      </c>
      <c r="E435" t="s">
        <v>54</v>
      </c>
      <c r="F435" t="s">
        <v>84</v>
      </c>
      <c r="G435" t="s">
        <v>84</v>
      </c>
      <c r="H435">
        <v>1</v>
      </c>
      <c r="I435" s="3">
        <v>499</v>
      </c>
      <c r="J435" s="4">
        <v>30</v>
      </c>
      <c r="K435" s="3">
        <v>349</v>
      </c>
      <c r="L435" s="3">
        <v>349</v>
      </c>
      <c r="M435" t="s">
        <v>28</v>
      </c>
      <c r="N435" t="s">
        <v>37</v>
      </c>
      <c r="O435" s="3">
        <v>65</v>
      </c>
      <c r="P435" t="s">
        <v>30</v>
      </c>
      <c r="Q435" s="3">
        <v>14.3</v>
      </c>
      <c r="R435" s="3">
        <v>158.28</v>
      </c>
      <c r="S435" s="3">
        <v>111.42</v>
      </c>
      <c r="T435" s="3">
        <v>349</v>
      </c>
      <c r="U435" s="3">
        <v>7</v>
      </c>
      <c r="V435" t="s">
        <v>96</v>
      </c>
    </row>
    <row r="436" spans="1:22" x14ac:dyDescent="0.3">
      <c r="A436" t="s">
        <v>520</v>
      </c>
      <c r="B436" s="1">
        <v>46208</v>
      </c>
      <c r="C436" t="s">
        <v>45</v>
      </c>
      <c r="D436" t="s">
        <v>46</v>
      </c>
      <c r="E436" t="s">
        <v>47</v>
      </c>
      <c r="F436" t="s">
        <v>84</v>
      </c>
      <c r="G436" t="s">
        <v>84</v>
      </c>
      <c r="H436">
        <v>3</v>
      </c>
      <c r="I436" s="3">
        <v>899</v>
      </c>
      <c r="J436" s="4">
        <v>20</v>
      </c>
      <c r="K436" s="3">
        <v>719</v>
      </c>
      <c r="L436" s="3">
        <v>2157</v>
      </c>
      <c r="M436" t="s">
        <v>69</v>
      </c>
      <c r="N436" t="s">
        <v>37</v>
      </c>
      <c r="O436" s="3">
        <v>55</v>
      </c>
      <c r="P436" t="s">
        <v>70</v>
      </c>
      <c r="Q436" s="3">
        <v>120.2</v>
      </c>
      <c r="R436" s="3">
        <v>957.04</v>
      </c>
      <c r="S436" s="3">
        <v>1024.76</v>
      </c>
      <c r="T436" s="3">
        <v>719</v>
      </c>
      <c r="U436" s="3">
        <v>27</v>
      </c>
      <c r="V436" t="s">
        <v>50</v>
      </c>
    </row>
    <row r="437" spans="1:22" x14ac:dyDescent="0.3">
      <c r="A437" t="s">
        <v>521</v>
      </c>
      <c r="B437" s="1">
        <v>46245</v>
      </c>
      <c r="C437" t="s">
        <v>67</v>
      </c>
      <c r="D437" t="s">
        <v>112</v>
      </c>
      <c r="E437" t="s">
        <v>47</v>
      </c>
      <c r="F437" t="s">
        <v>26</v>
      </c>
      <c r="G437" t="s">
        <v>27</v>
      </c>
      <c r="H437">
        <v>2</v>
      </c>
      <c r="I437" s="3">
        <v>299</v>
      </c>
      <c r="J437" s="4">
        <v>25</v>
      </c>
      <c r="K437" s="3">
        <v>224</v>
      </c>
      <c r="L437" s="3">
        <v>448</v>
      </c>
      <c r="M437" t="s">
        <v>28</v>
      </c>
      <c r="N437" t="s">
        <v>37</v>
      </c>
      <c r="O437" s="3">
        <v>45</v>
      </c>
      <c r="P437" t="s">
        <v>30</v>
      </c>
      <c r="Q437" s="3">
        <v>23.87</v>
      </c>
      <c r="R437" s="3">
        <v>223.18</v>
      </c>
      <c r="S437" s="3">
        <v>155.94999999999999</v>
      </c>
      <c r="T437" s="3">
        <v>224</v>
      </c>
      <c r="U437" s="3">
        <v>33</v>
      </c>
      <c r="V437" t="s">
        <v>71</v>
      </c>
    </row>
    <row r="438" spans="1:22" x14ac:dyDescent="0.3">
      <c r="A438" t="s">
        <v>522</v>
      </c>
      <c r="B438" s="1">
        <v>46144</v>
      </c>
      <c r="C438" t="s">
        <v>62</v>
      </c>
      <c r="D438" t="s">
        <v>53</v>
      </c>
      <c r="E438" t="s">
        <v>54</v>
      </c>
      <c r="F438" t="s">
        <v>55</v>
      </c>
      <c r="G438" t="s">
        <v>56</v>
      </c>
      <c r="H438">
        <v>2</v>
      </c>
      <c r="I438" s="3">
        <v>499</v>
      </c>
      <c r="J438" s="4">
        <v>40</v>
      </c>
      <c r="K438" s="3">
        <v>299</v>
      </c>
      <c r="L438" s="3">
        <v>598</v>
      </c>
      <c r="M438" t="s">
        <v>28</v>
      </c>
      <c r="N438" t="s">
        <v>37</v>
      </c>
      <c r="O438" s="3">
        <v>45</v>
      </c>
      <c r="P438" t="s">
        <v>30</v>
      </c>
      <c r="Q438" s="3">
        <v>46.92</v>
      </c>
      <c r="R438" s="3">
        <v>294.83</v>
      </c>
      <c r="S438" s="3">
        <v>211.25</v>
      </c>
      <c r="T438" s="3">
        <v>299</v>
      </c>
      <c r="U438" s="3">
        <v>18</v>
      </c>
      <c r="V438" t="s">
        <v>65</v>
      </c>
    </row>
    <row r="439" spans="1:22" x14ac:dyDescent="0.3">
      <c r="A439" t="s">
        <v>523</v>
      </c>
      <c r="B439" s="1">
        <v>46155</v>
      </c>
      <c r="C439" t="s">
        <v>62</v>
      </c>
      <c r="D439" t="s">
        <v>93</v>
      </c>
      <c r="E439" t="s">
        <v>47</v>
      </c>
      <c r="F439" t="s">
        <v>84</v>
      </c>
      <c r="G439" t="s">
        <v>84</v>
      </c>
      <c r="H439">
        <v>1</v>
      </c>
      <c r="I439" s="3">
        <v>699</v>
      </c>
      <c r="J439" s="4">
        <v>25</v>
      </c>
      <c r="K439" s="3">
        <v>524</v>
      </c>
      <c r="L439" s="3">
        <v>524</v>
      </c>
      <c r="M439" t="s">
        <v>28</v>
      </c>
      <c r="N439" t="s">
        <v>37</v>
      </c>
      <c r="O439" s="3">
        <v>55</v>
      </c>
      <c r="P439" t="s">
        <v>30</v>
      </c>
      <c r="Q439" s="3">
        <v>27.96</v>
      </c>
      <c r="R439" s="3">
        <v>258.38</v>
      </c>
      <c r="S439" s="3">
        <v>182.66</v>
      </c>
      <c r="T439" s="3">
        <v>524</v>
      </c>
      <c r="U439" s="3">
        <v>20</v>
      </c>
      <c r="V439" t="s">
        <v>65</v>
      </c>
    </row>
    <row r="440" spans="1:22" x14ac:dyDescent="0.3">
      <c r="A440" t="s">
        <v>524</v>
      </c>
      <c r="B440" s="1">
        <v>46185</v>
      </c>
      <c r="C440" t="s">
        <v>78</v>
      </c>
      <c r="D440" t="s">
        <v>33</v>
      </c>
      <c r="E440" t="s">
        <v>34</v>
      </c>
      <c r="F440" t="s">
        <v>42</v>
      </c>
      <c r="G440" t="s">
        <v>27</v>
      </c>
      <c r="H440">
        <v>2</v>
      </c>
      <c r="I440" s="3">
        <v>599</v>
      </c>
      <c r="J440" s="4">
        <v>30</v>
      </c>
      <c r="K440" s="3">
        <v>419</v>
      </c>
      <c r="L440" s="3">
        <v>838</v>
      </c>
      <c r="M440" t="s">
        <v>64</v>
      </c>
      <c r="N440" t="s">
        <v>29</v>
      </c>
      <c r="O440" s="3">
        <v>35</v>
      </c>
      <c r="P440" t="s">
        <v>30</v>
      </c>
      <c r="Q440" s="3">
        <v>65.61</v>
      </c>
      <c r="R440" s="3">
        <v>426.55</v>
      </c>
      <c r="S440" s="3">
        <v>310.83999999999997</v>
      </c>
      <c r="T440" s="3">
        <v>419</v>
      </c>
      <c r="U440" s="3">
        <v>24</v>
      </c>
      <c r="V440" t="s">
        <v>81</v>
      </c>
    </row>
    <row r="441" spans="1:22" x14ac:dyDescent="0.3">
      <c r="A441" t="s">
        <v>525</v>
      </c>
      <c r="B441" s="1">
        <v>46237</v>
      </c>
      <c r="C441" t="s">
        <v>67</v>
      </c>
      <c r="D441" t="s">
        <v>40</v>
      </c>
      <c r="E441" t="s">
        <v>41</v>
      </c>
      <c r="F441" t="s">
        <v>109</v>
      </c>
      <c r="G441" t="s">
        <v>110</v>
      </c>
      <c r="H441">
        <v>1</v>
      </c>
      <c r="I441" s="3">
        <v>449</v>
      </c>
      <c r="J441" s="4">
        <v>20</v>
      </c>
      <c r="K441" s="3">
        <v>359</v>
      </c>
      <c r="L441" s="3">
        <v>359</v>
      </c>
      <c r="M441" t="s">
        <v>69</v>
      </c>
      <c r="N441" t="s">
        <v>29</v>
      </c>
      <c r="O441" s="3">
        <v>65</v>
      </c>
      <c r="P441" t="s">
        <v>70</v>
      </c>
      <c r="Q441" s="3">
        <v>23.45</v>
      </c>
      <c r="R441" s="3">
        <v>178.38</v>
      </c>
      <c r="S441" s="3">
        <v>92.17</v>
      </c>
      <c r="T441" s="3">
        <v>359</v>
      </c>
      <c r="U441" s="3">
        <v>32</v>
      </c>
      <c r="V441" t="s">
        <v>71</v>
      </c>
    </row>
    <row r="442" spans="1:22" x14ac:dyDescent="0.3">
      <c r="A442" t="s">
        <v>526</v>
      </c>
      <c r="B442" s="1">
        <v>46243</v>
      </c>
      <c r="C442" t="s">
        <v>67</v>
      </c>
      <c r="D442" t="s">
        <v>40</v>
      </c>
      <c r="E442" t="s">
        <v>41</v>
      </c>
      <c r="F442" t="s">
        <v>55</v>
      </c>
      <c r="G442" t="s">
        <v>56</v>
      </c>
      <c r="H442">
        <v>2</v>
      </c>
      <c r="I442" s="3">
        <v>449</v>
      </c>
      <c r="J442" s="4">
        <v>35</v>
      </c>
      <c r="K442" s="3">
        <v>292</v>
      </c>
      <c r="L442" s="3">
        <v>584</v>
      </c>
      <c r="M442" t="s">
        <v>102</v>
      </c>
      <c r="N442" t="s">
        <v>37</v>
      </c>
      <c r="O442" s="3">
        <v>35</v>
      </c>
      <c r="P442" t="s">
        <v>30</v>
      </c>
      <c r="Q442" s="3">
        <v>32.92</v>
      </c>
      <c r="R442" s="3">
        <v>265.98</v>
      </c>
      <c r="S442" s="3">
        <v>250.1</v>
      </c>
      <c r="T442" s="3">
        <v>292</v>
      </c>
      <c r="U442" s="3">
        <v>32</v>
      </c>
      <c r="V442" t="s">
        <v>71</v>
      </c>
    </row>
    <row r="443" spans="1:22" x14ac:dyDescent="0.3">
      <c r="A443" t="s">
        <v>527</v>
      </c>
      <c r="B443" s="1">
        <v>46257</v>
      </c>
      <c r="C443" t="s">
        <v>67</v>
      </c>
      <c r="D443" t="s">
        <v>115</v>
      </c>
      <c r="E443" t="s">
        <v>116</v>
      </c>
      <c r="F443" t="s">
        <v>55</v>
      </c>
      <c r="G443" t="s">
        <v>56</v>
      </c>
      <c r="H443">
        <v>1</v>
      </c>
      <c r="I443" s="3">
        <v>249</v>
      </c>
      <c r="J443" s="4">
        <v>35</v>
      </c>
      <c r="K443" s="3">
        <v>162</v>
      </c>
      <c r="L443" s="3">
        <v>162</v>
      </c>
      <c r="M443" t="s">
        <v>28</v>
      </c>
      <c r="N443" t="s">
        <v>37</v>
      </c>
      <c r="O443" s="3">
        <v>55</v>
      </c>
      <c r="P443" t="s">
        <v>30</v>
      </c>
      <c r="Q443" s="3">
        <v>7.53</v>
      </c>
      <c r="R443" s="3">
        <v>75.680000000000007</v>
      </c>
      <c r="S443" s="3">
        <v>23.79</v>
      </c>
      <c r="T443" s="3">
        <v>162</v>
      </c>
      <c r="U443" s="3">
        <v>34</v>
      </c>
      <c r="V443" t="s">
        <v>71</v>
      </c>
    </row>
    <row r="444" spans="1:22" x14ac:dyDescent="0.3">
      <c r="A444" t="s">
        <v>528</v>
      </c>
      <c r="B444" s="1">
        <v>46168</v>
      </c>
      <c r="C444" t="s">
        <v>62</v>
      </c>
      <c r="D444" t="s">
        <v>59</v>
      </c>
      <c r="E444" t="s">
        <v>60</v>
      </c>
      <c r="F444" t="s">
        <v>26</v>
      </c>
      <c r="G444" t="s">
        <v>27</v>
      </c>
      <c r="H444">
        <v>1</v>
      </c>
      <c r="I444" s="3">
        <v>299</v>
      </c>
      <c r="J444" s="4">
        <v>30</v>
      </c>
      <c r="K444" s="3">
        <v>209</v>
      </c>
      <c r="L444" s="3">
        <v>209</v>
      </c>
      <c r="M444" t="s">
        <v>28</v>
      </c>
      <c r="N444" t="s">
        <v>37</v>
      </c>
      <c r="O444" s="3">
        <v>55</v>
      </c>
      <c r="P444" t="s">
        <v>30</v>
      </c>
      <c r="Q444" s="3">
        <v>14.88</v>
      </c>
      <c r="R444" s="3">
        <v>99.57</v>
      </c>
      <c r="S444" s="3">
        <v>39.549999999999997</v>
      </c>
      <c r="T444" s="3">
        <v>209</v>
      </c>
      <c r="U444" s="3">
        <v>22</v>
      </c>
      <c r="V444" t="s">
        <v>65</v>
      </c>
    </row>
    <row r="445" spans="1:22" x14ac:dyDescent="0.3">
      <c r="A445" t="s">
        <v>529</v>
      </c>
      <c r="B445" s="1">
        <v>46261</v>
      </c>
      <c r="C445" t="s">
        <v>67</v>
      </c>
      <c r="D445" t="s">
        <v>53</v>
      </c>
      <c r="E445" t="s">
        <v>54</v>
      </c>
      <c r="F445" t="s">
        <v>100</v>
      </c>
      <c r="G445" t="s">
        <v>101</v>
      </c>
      <c r="H445">
        <v>1</v>
      </c>
      <c r="I445" s="3">
        <v>499</v>
      </c>
      <c r="J445" s="4">
        <v>30</v>
      </c>
      <c r="K445" s="3">
        <v>349</v>
      </c>
      <c r="L445" s="3">
        <v>349</v>
      </c>
      <c r="M445" t="s">
        <v>76</v>
      </c>
      <c r="N445" t="s">
        <v>37</v>
      </c>
      <c r="O445" s="3">
        <v>65</v>
      </c>
      <c r="P445" t="s">
        <v>30</v>
      </c>
      <c r="Q445" s="3">
        <v>15.78</v>
      </c>
      <c r="R445" s="3">
        <v>161.94999999999999</v>
      </c>
      <c r="S445" s="3">
        <v>106.27</v>
      </c>
      <c r="T445" s="3">
        <v>349</v>
      </c>
      <c r="U445" s="3">
        <v>35</v>
      </c>
      <c r="V445" t="s">
        <v>71</v>
      </c>
    </row>
    <row r="446" spans="1:22" x14ac:dyDescent="0.3">
      <c r="A446" t="s">
        <v>530</v>
      </c>
      <c r="B446" s="1">
        <v>46098</v>
      </c>
      <c r="C446" t="s">
        <v>39</v>
      </c>
      <c r="D446" t="s">
        <v>112</v>
      </c>
      <c r="E446" t="s">
        <v>47</v>
      </c>
      <c r="F446" t="s">
        <v>100</v>
      </c>
      <c r="G446" t="s">
        <v>101</v>
      </c>
      <c r="H446">
        <v>1</v>
      </c>
      <c r="I446" s="3">
        <v>299</v>
      </c>
      <c r="J446" s="4">
        <v>25</v>
      </c>
      <c r="K446" s="3">
        <v>224</v>
      </c>
      <c r="L446" s="3">
        <v>224</v>
      </c>
      <c r="M446" t="s">
        <v>28</v>
      </c>
      <c r="N446" t="s">
        <v>37</v>
      </c>
      <c r="O446" s="3">
        <v>45</v>
      </c>
      <c r="P446" t="s">
        <v>30</v>
      </c>
      <c r="Q446" s="3">
        <v>9.02</v>
      </c>
      <c r="R446" s="3">
        <v>105.2</v>
      </c>
      <c r="S446" s="3">
        <v>64.78</v>
      </c>
      <c r="T446" s="3">
        <v>224</v>
      </c>
      <c r="U446" s="3">
        <v>12</v>
      </c>
      <c r="V446" t="s">
        <v>43</v>
      </c>
    </row>
    <row r="447" spans="1:22" x14ac:dyDescent="0.3">
      <c r="A447" t="s">
        <v>531</v>
      </c>
      <c r="B447" s="1">
        <v>46031</v>
      </c>
      <c r="C447" t="s">
        <v>52</v>
      </c>
      <c r="D447" t="s">
        <v>112</v>
      </c>
      <c r="E447" t="s">
        <v>47</v>
      </c>
      <c r="F447" t="s">
        <v>109</v>
      </c>
      <c r="G447" t="s">
        <v>110</v>
      </c>
      <c r="H447">
        <v>1</v>
      </c>
      <c r="I447" s="3">
        <v>299</v>
      </c>
      <c r="J447" s="4">
        <v>25</v>
      </c>
      <c r="K447" s="3">
        <v>224</v>
      </c>
      <c r="L447" s="3">
        <v>224</v>
      </c>
      <c r="M447" t="s">
        <v>69</v>
      </c>
      <c r="N447" t="s">
        <v>37</v>
      </c>
      <c r="O447" s="3">
        <v>55</v>
      </c>
      <c r="P447" t="s">
        <v>70</v>
      </c>
      <c r="Q447" s="3">
        <v>14.1</v>
      </c>
      <c r="R447" s="3">
        <v>95.44</v>
      </c>
      <c r="S447" s="3">
        <v>59.46</v>
      </c>
      <c r="T447" s="3">
        <v>224</v>
      </c>
      <c r="U447" s="3">
        <v>2</v>
      </c>
      <c r="V447" t="s">
        <v>57</v>
      </c>
    </row>
    <row r="448" spans="1:22" x14ac:dyDescent="0.3">
      <c r="A448" t="s">
        <v>532</v>
      </c>
      <c r="B448" s="1">
        <v>46096</v>
      </c>
      <c r="C448" t="s">
        <v>39</v>
      </c>
      <c r="D448" t="s">
        <v>93</v>
      </c>
      <c r="E448" t="s">
        <v>47</v>
      </c>
      <c r="F448" t="s">
        <v>35</v>
      </c>
      <c r="G448" t="s">
        <v>36</v>
      </c>
      <c r="H448">
        <v>1</v>
      </c>
      <c r="I448" s="3">
        <v>699</v>
      </c>
      <c r="J448" s="4">
        <v>20</v>
      </c>
      <c r="K448" s="3">
        <v>559</v>
      </c>
      <c r="L448" s="3">
        <v>559</v>
      </c>
      <c r="M448" t="s">
        <v>102</v>
      </c>
      <c r="N448" t="s">
        <v>37</v>
      </c>
      <c r="O448" s="3">
        <v>65</v>
      </c>
      <c r="P448" t="s">
        <v>30</v>
      </c>
      <c r="Q448" s="3">
        <v>28.52</v>
      </c>
      <c r="R448" s="3">
        <v>262.42</v>
      </c>
      <c r="S448" s="3">
        <v>203.06</v>
      </c>
      <c r="T448" s="3">
        <v>559</v>
      </c>
      <c r="U448" s="3">
        <v>11</v>
      </c>
      <c r="V448" t="s">
        <v>43</v>
      </c>
    </row>
    <row r="449" spans="1:22" x14ac:dyDescent="0.3">
      <c r="A449" t="s">
        <v>533</v>
      </c>
      <c r="B449" s="1">
        <v>46275</v>
      </c>
      <c r="C449" t="s">
        <v>86</v>
      </c>
      <c r="D449" t="s">
        <v>46</v>
      </c>
      <c r="E449" t="s">
        <v>47</v>
      </c>
      <c r="F449" t="s">
        <v>48</v>
      </c>
      <c r="G449" t="s">
        <v>49</v>
      </c>
      <c r="H449">
        <v>1</v>
      </c>
      <c r="I449" s="3">
        <v>899</v>
      </c>
      <c r="J449" s="4">
        <v>25</v>
      </c>
      <c r="K449" s="3">
        <v>674</v>
      </c>
      <c r="L449" s="3">
        <v>674</v>
      </c>
      <c r="M449" t="s">
        <v>64</v>
      </c>
      <c r="N449" t="s">
        <v>37</v>
      </c>
      <c r="O449" s="3">
        <v>35</v>
      </c>
      <c r="P449" t="s">
        <v>30</v>
      </c>
      <c r="Q449" s="3">
        <v>47.18</v>
      </c>
      <c r="R449" s="3">
        <v>344.62</v>
      </c>
      <c r="S449" s="3">
        <v>247.2</v>
      </c>
      <c r="T449" s="3">
        <v>674</v>
      </c>
      <c r="U449" s="3">
        <v>37</v>
      </c>
      <c r="V449" t="s">
        <v>87</v>
      </c>
    </row>
    <row r="450" spans="1:22" x14ac:dyDescent="0.3">
      <c r="A450" t="s">
        <v>534</v>
      </c>
      <c r="B450" s="1">
        <v>46252</v>
      </c>
      <c r="C450" t="s">
        <v>67</v>
      </c>
      <c r="D450" t="s">
        <v>74</v>
      </c>
      <c r="E450" t="s">
        <v>75</v>
      </c>
      <c r="F450" t="s">
        <v>42</v>
      </c>
      <c r="G450" t="s">
        <v>27</v>
      </c>
      <c r="H450">
        <v>1</v>
      </c>
      <c r="I450" s="3">
        <v>549</v>
      </c>
      <c r="J450" s="4">
        <v>15</v>
      </c>
      <c r="K450" s="3">
        <v>467</v>
      </c>
      <c r="L450" s="3">
        <v>467</v>
      </c>
      <c r="M450" t="s">
        <v>28</v>
      </c>
      <c r="N450" t="s">
        <v>29</v>
      </c>
      <c r="O450" s="3">
        <v>45</v>
      </c>
      <c r="P450" t="s">
        <v>30</v>
      </c>
      <c r="Q450" s="3">
        <v>26.82</v>
      </c>
      <c r="R450" s="3">
        <v>223.88</v>
      </c>
      <c r="S450" s="3">
        <v>171.3</v>
      </c>
      <c r="T450" s="3">
        <v>467</v>
      </c>
      <c r="U450" s="3">
        <v>34</v>
      </c>
      <c r="V450" t="s">
        <v>71</v>
      </c>
    </row>
    <row r="451" spans="1:22" x14ac:dyDescent="0.3">
      <c r="A451" t="s">
        <v>535</v>
      </c>
      <c r="B451" s="1">
        <v>46029</v>
      </c>
      <c r="C451" t="s">
        <v>52</v>
      </c>
      <c r="D451" t="s">
        <v>112</v>
      </c>
      <c r="E451" t="s">
        <v>47</v>
      </c>
      <c r="F451" t="s">
        <v>48</v>
      </c>
      <c r="G451" t="s">
        <v>49</v>
      </c>
      <c r="H451">
        <v>1</v>
      </c>
      <c r="I451" s="3">
        <v>299</v>
      </c>
      <c r="J451" s="4">
        <v>10</v>
      </c>
      <c r="K451" s="3">
        <v>269</v>
      </c>
      <c r="L451" s="3">
        <v>269</v>
      </c>
      <c r="M451" t="s">
        <v>28</v>
      </c>
      <c r="N451" t="s">
        <v>37</v>
      </c>
      <c r="O451" s="3">
        <v>45</v>
      </c>
      <c r="P451" t="s">
        <v>30</v>
      </c>
      <c r="Q451" s="3">
        <v>18.45</v>
      </c>
      <c r="R451" s="3">
        <v>128.55000000000001</v>
      </c>
      <c r="S451" s="3">
        <v>77</v>
      </c>
      <c r="T451" s="3">
        <v>269</v>
      </c>
      <c r="U451" s="3">
        <v>2</v>
      </c>
      <c r="V451" t="s">
        <v>57</v>
      </c>
    </row>
    <row r="452" spans="1:22" x14ac:dyDescent="0.3">
      <c r="A452" t="s">
        <v>536</v>
      </c>
      <c r="B452" s="1">
        <v>46196</v>
      </c>
      <c r="C452" t="s">
        <v>78</v>
      </c>
      <c r="D452" t="s">
        <v>53</v>
      </c>
      <c r="E452" t="s">
        <v>54</v>
      </c>
      <c r="F452" t="s">
        <v>35</v>
      </c>
      <c r="G452" t="s">
        <v>36</v>
      </c>
      <c r="H452">
        <v>1</v>
      </c>
      <c r="I452" s="3">
        <v>499</v>
      </c>
      <c r="J452" s="4">
        <v>25</v>
      </c>
      <c r="K452" s="3">
        <v>374</v>
      </c>
      <c r="L452" s="3">
        <v>374</v>
      </c>
      <c r="M452" t="s">
        <v>76</v>
      </c>
      <c r="N452" t="s">
        <v>37</v>
      </c>
      <c r="O452" s="3">
        <v>65</v>
      </c>
      <c r="P452" t="s">
        <v>30</v>
      </c>
      <c r="Q452" s="3">
        <v>18.940000000000001</v>
      </c>
      <c r="R452" s="3">
        <v>169.53</v>
      </c>
      <c r="S452" s="3">
        <v>120.53</v>
      </c>
      <c r="T452" s="3">
        <v>374</v>
      </c>
      <c r="U452" s="3">
        <v>26</v>
      </c>
      <c r="V452" t="s">
        <v>81</v>
      </c>
    </row>
    <row r="453" spans="1:22" x14ac:dyDescent="0.3">
      <c r="A453" t="s">
        <v>537</v>
      </c>
      <c r="B453" s="1">
        <v>46163</v>
      </c>
      <c r="C453" t="s">
        <v>62</v>
      </c>
      <c r="D453" t="s">
        <v>63</v>
      </c>
      <c r="E453" t="s">
        <v>47</v>
      </c>
      <c r="F453" t="s">
        <v>55</v>
      </c>
      <c r="G453" t="s">
        <v>56</v>
      </c>
      <c r="H453">
        <v>1</v>
      </c>
      <c r="I453" s="3">
        <v>399</v>
      </c>
      <c r="J453" s="4">
        <v>30</v>
      </c>
      <c r="K453" s="3">
        <v>279</v>
      </c>
      <c r="L453" s="3">
        <v>279</v>
      </c>
      <c r="M453" t="s">
        <v>102</v>
      </c>
      <c r="N453" t="s">
        <v>29</v>
      </c>
      <c r="O453" s="3">
        <v>35</v>
      </c>
      <c r="P453" t="s">
        <v>30</v>
      </c>
      <c r="Q453" s="3">
        <v>21.56</v>
      </c>
      <c r="R453" s="3">
        <v>144.99</v>
      </c>
      <c r="S453" s="3">
        <v>77.45</v>
      </c>
      <c r="T453" s="3">
        <v>279</v>
      </c>
      <c r="U453" s="3">
        <v>21</v>
      </c>
      <c r="V453" t="s">
        <v>65</v>
      </c>
    </row>
    <row r="454" spans="1:22" x14ac:dyDescent="0.3">
      <c r="A454" t="s">
        <v>538</v>
      </c>
      <c r="B454" s="1">
        <v>46190</v>
      </c>
      <c r="C454" t="s">
        <v>78</v>
      </c>
      <c r="D454" t="s">
        <v>53</v>
      </c>
      <c r="E454" t="s">
        <v>54</v>
      </c>
      <c r="F454" t="s">
        <v>79</v>
      </c>
      <c r="G454" t="s">
        <v>80</v>
      </c>
      <c r="H454">
        <v>1</v>
      </c>
      <c r="I454" s="3">
        <v>499</v>
      </c>
      <c r="J454" s="4">
        <v>15</v>
      </c>
      <c r="K454" s="3">
        <v>424</v>
      </c>
      <c r="L454" s="3">
        <v>424</v>
      </c>
      <c r="M454" t="s">
        <v>28</v>
      </c>
      <c r="N454" t="s">
        <v>37</v>
      </c>
      <c r="O454" s="3">
        <v>45</v>
      </c>
      <c r="P454" t="s">
        <v>30</v>
      </c>
      <c r="Q454" s="3">
        <v>21.31</v>
      </c>
      <c r="R454" s="3">
        <v>187.44</v>
      </c>
      <c r="S454" s="3">
        <v>170.25</v>
      </c>
      <c r="T454" s="3">
        <v>424</v>
      </c>
      <c r="U454" s="3">
        <v>25</v>
      </c>
      <c r="V454" t="s">
        <v>81</v>
      </c>
    </row>
    <row r="455" spans="1:22" x14ac:dyDescent="0.3">
      <c r="A455" t="s">
        <v>539</v>
      </c>
      <c r="B455" s="1">
        <v>46192</v>
      </c>
      <c r="C455" t="s">
        <v>78</v>
      </c>
      <c r="D455" t="s">
        <v>130</v>
      </c>
      <c r="E455" t="s">
        <v>54</v>
      </c>
      <c r="F455" t="s">
        <v>79</v>
      </c>
      <c r="G455" t="s">
        <v>80</v>
      </c>
      <c r="H455">
        <v>1</v>
      </c>
      <c r="I455" s="3">
        <v>699</v>
      </c>
      <c r="J455" s="4">
        <v>20</v>
      </c>
      <c r="K455" s="3">
        <v>559</v>
      </c>
      <c r="L455" s="3">
        <v>559</v>
      </c>
      <c r="M455" t="s">
        <v>102</v>
      </c>
      <c r="N455" t="s">
        <v>37</v>
      </c>
      <c r="O455" s="3">
        <v>35</v>
      </c>
      <c r="P455" t="s">
        <v>30</v>
      </c>
      <c r="Q455" s="3">
        <v>39.35</v>
      </c>
      <c r="R455" s="3">
        <v>252.25</v>
      </c>
      <c r="S455" s="3">
        <v>232.4</v>
      </c>
      <c r="T455" s="3">
        <v>559</v>
      </c>
      <c r="U455" s="3">
        <v>25</v>
      </c>
      <c r="V455" t="s">
        <v>81</v>
      </c>
    </row>
    <row r="456" spans="1:22" x14ac:dyDescent="0.3">
      <c r="A456" t="s">
        <v>540</v>
      </c>
      <c r="B456" s="1">
        <v>46144</v>
      </c>
      <c r="C456" t="s">
        <v>62</v>
      </c>
      <c r="D456" t="s">
        <v>115</v>
      </c>
      <c r="E456" t="s">
        <v>116</v>
      </c>
      <c r="F456" t="s">
        <v>55</v>
      </c>
      <c r="G456" t="s">
        <v>56</v>
      </c>
      <c r="H456">
        <v>3</v>
      </c>
      <c r="I456" s="3">
        <v>249</v>
      </c>
      <c r="J456" s="4">
        <v>25</v>
      </c>
      <c r="K456" s="3">
        <v>187</v>
      </c>
      <c r="L456" s="3">
        <v>561</v>
      </c>
      <c r="M456" t="s">
        <v>69</v>
      </c>
      <c r="N456" t="s">
        <v>37</v>
      </c>
      <c r="O456" s="3">
        <v>45</v>
      </c>
      <c r="P456" t="s">
        <v>70</v>
      </c>
      <c r="Q456" s="3">
        <v>30.83</v>
      </c>
      <c r="R456" s="3">
        <v>285.33999999999997</v>
      </c>
      <c r="S456" s="3">
        <v>199.83</v>
      </c>
      <c r="T456" s="3">
        <v>187</v>
      </c>
      <c r="U456" s="3">
        <v>18</v>
      </c>
      <c r="V456" t="s">
        <v>65</v>
      </c>
    </row>
    <row r="457" spans="1:22" x14ac:dyDescent="0.3">
      <c r="A457" t="s">
        <v>541</v>
      </c>
      <c r="B457" s="1">
        <v>46216</v>
      </c>
      <c r="C457" t="s">
        <v>45</v>
      </c>
      <c r="D457" t="s">
        <v>46</v>
      </c>
      <c r="E457" t="s">
        <v>47</v>
      </c>
      <c r="F457" t="s">
        <v>35</v>
      </c>
      <c r="G457" t="s">
        <v>36</v>
      </c>
      <c r="H457">
        <v>1</v>
      </c>
      <c r="I457" s="3">
        <v>899</v>
      </c>
      <c r="J457" s="4">
        <v>10</v>
      </c>
      <c r="K457" s="3">
        <v>809</v>
      </c>
      <c r="L457" s="3">
        <v>809</v>
      </c>
      <c r="M457" t="s">
        <v>76</v>
      </c>
      <c r="N457" t="s">
        <v>29</v>
      </c>
      <c r="O457" s="3">
        <v>35</v>
      </c>
      <c r="P457" t="s">
        <v>30</v>
      </c>
      <c r="Q457" s="3">
        <v>46.22</v>
      </c>
      <c r="R457" s="3">
        <v>390.91</v>
      </c>
      <c r="S457" s="3">
        <v>336.87</v>
      </c>
      <c r="T457" s="3">
        <v>809</v>
      </c>
      <c r="U457" s="3">
        <v>29</v>
      </c>
      <c r="V457" t="s">
        <v>50</v>
      </c>
    </row>
    <row r="458" spans="1:22" x14ac:dyDescent="0.3">
      <c r="A458" t="s">
        <v>542</v>
      </c>
      <c r="B458" s="1">
        <v>46027</v>
      </c>
      <c r="C458" t="s">
        <v>52</v>
      </c>
      <c r="D458" t="s">
        <v>74</v>
      </c>
      <c r="E458" t="s">
        <v>75</v>
      </c>
      <c r="F458" t="s">
        <v>68</v>
      </c>
      <c r="G458" t="s">
        <v>27</v>
      </c>
      <c r="H458">
        <v>1</v>
      </c>
      <c r="I458" s="3">
        <v>549</v>
      </c>
      <c r="J458" s="4">
        <v>15</v>
      </c>
      <c r="K458" s="3">
        <v>467</v>
      </c>
      <c r="L458" s="3">
        <v>467</v>
      </c>
      <c r="M458" t="s">
        <v>28</v>
      </c>
      <c r="N458" t="s">
        <v>37</v>
      </c>
      <c r="O458" s="3">
        <v>35</v>
      </c>
      <c r="P458" t="s">
        <v>30</v>
      </c>
      <c r="Q458" s="3">
        <v>23.02</v>
      </c>
      <c r="R458" s="3">
        <v>215.07</v>
      </c>
      <c r="S458" s="3">
        <v>193.91</v>
      </c>
      <c r="T458" s="3">
        <v>467</v>
      </c>
      <c r="U458" s="3">
        <v>2</v>
      </c>
      <c r="V458" t="s">
        <v>57</v>
      </c>
    </row>
    <row r="459" spans="1:22" x14ac:dyDescent="0.3">
      <c r="A459" t="s">
        <v>543</v>
      </c>
      <c r="B459" s="1">
        <v>46051</v>
      </c>
      <c r="C459" t="s">
        <v>52</v>
      </c>
      <c r="D459" t="s">
        <v>40</v>
      </c>
      <c r="E459" t="s">
        <v>41</v>
      </c>
      <c r="F459" t="s">
        <v>48</v>
      </c>
      <c r="G459" t="s">
        <v>49</v>
      </c>
      <c r="H459">
        <v>1</v>
      </c>
      <c r="I459" s="3">
        <v>449</v>
      </c>
      <c r="J459" s="4">
        <v>30</v>
      </c>
      <c r="K459" s="3">
        <v>314</v>
      </c>
      <c r="L459" s="3">
        <v>314</v>
      </c>
      <c r="M459" t="s">
        <v>102</v>
      </c>
      <c r="N459" t="s">
        <v>29</v>
      </c>
      <c r="O459" s="3">
        <v>55</v>
      </c>
      <c r="P459" t="s">
        <v>30</v>
      </c>
      <c r="Q459" s="3">
        <v>14.36</v>
      </c>
      <c r="R459" s="3">
        <v>152.53</v>
      </c>
      <c r="S459" s="3">
        <v>92.11</v>
      </c>
      <c r="T459" s="3">
        <v>314</v>
      </c>
      <c r="U459" s="3">
        <v>5</v>
      </c>
      <c r="V459" t="s">
        <v>57</v>
      </c>
    </row>
    <row r="460" spans="1:22" x14ac:dyDescent="0.3">
      <c r="A460" t="s">
        <v>544</v>
      </c>
      <c r="B460" s="1">
        <v>46187</v>
      </c>
      <c r="C460" t="s">
        <v>78</v>
      </c>
      <c r="D460" t="s">
        <v>74</v>
      </c>
      <c r="E460" t="s">
        <v>75</v>
      </c>
      <c r="F460" t="s">
        <v>42</v>
      </c>
      <c r="G460" t="s">
        <v>27</v>
      </c>
      <c r="H460">
        <v>1</v>
      </c>
      <c r="I460" s="3">
        <v>549</v>
      </c>
      <c r="J460" s="4">
        <v>20</v>
      </c>
      <c r="K460" s="3">
        <v>439</v>
      </c>
      <c r="L460" s="3">
        <v>439</v>
      </c>
      <c r="M460" t="s">
        <v>28</v>
      </c>
      <c r="N460" t="s">
        <v>37</v>
      </c>
      <c r="O460" s="3">
        <v>65</v>
      </c>
      <c r="P460" t="s">
        <v>30</v>
      </c>
      <c r="Q460" s="3">
        <v>19.010000000000002</v>
      </c>
      <c r="R460" s="3">
        <v>210.72</v>
      </c>
      <c r="S460" s="3">
        <v>144.27000000000001</v>
      </c>
      <c r="T460" s="3">
        <v>439</v>
      </c>
      <c r="U460" s="3">
        <v>24</v>
      </c>
      <c r="V460" t="s">
        <v>81</v>
      </c>
    </row>
    <row r="461" spans="1:22" x14ac:dyDescent="0.3">
      <c r="A461" t="s">
        <v>545</v>
      </c>
      <c r="B461" s="1">
        <v>46158</v>
      </c>
      <c r="C461" t="s">
        <v>62</v>
      </c>
      <c r="D461" t="s">
        <v>93</v>
      </c>
      <c r="E461" t="s">
        <v>47</v>
      </c>
      <c r="F461" t="s">
        <v>55</v>
      </c>
      <c r="G461" t="s">
        <v>56</v>
      </c>
      <c r="H461">
        <v>2</v>
      </c>
      <c r="I461" s="3">
        <v>699</v>
      </c>
      <c r="J461" s="4">
        <v>30</v>
      </c>
      <c r="K461" s="3">
        <v>489</v>
      </c>
      <c r="L461" s="3">
        <v>978</v>
      </c>
      <c r="M461" t="s">
        <v>28</v>
      </c>
      <c r="N461" t="s">
        <v>37</v>
      </c>
      <c r="O461" s="3">
        <v>65</v>
      </c>
      <c r="P461" t="s">
        <v>30</v>
      </c>
      <c r="Q461" s="3">
        <v>42.93</v>
      </c>
      <c r="R461" s="3">
        <v>494.22</v>
      </c>
      <c r="S461" s="3">
        <v>375.85</v>
      </c>
      <c r="T461" s="3">
        <v>489</v>
      </c>
      <c r="U461" s="3">
        <v>20</v>
      </c>
      <c r="V461" t="s">
        <v>65</v>
      </c>
    </row>
    <row r="462" spans="1:22" x14ac:dyDescent="0.3">
      <c r="A462" t="s">
        <v>546</v>
      </c>
      <c r="B462" s="1">
        <v>46167</v>
      </c>
      <c r="C462" t="s">
        <v>62</v>
      </c>
      <c r="D462" t="s">
        <v>115</v>
      </c>
      <c r="E462" t="s">
        <v>116</v>
      </c>
      <c r="F462" t="s">
        <v>42</v>
      </c>
      <c r="G462" t="s">
        <v>27</v>
      </c>
      <c r="H462">
        <v>1</v>
      </c>
      <c r="I462" s="3">
        <v>249</v>
      </c>
      <c r="J462" s="4">
        <v>15</v>
      </c>
      <c r="K462" s="3">
        <v>212</v>
      </c>
      <c r="L462" s="3">
        <v>212</v>
      </c>
      <c r="M462" t="s">
        <v>28</v>
      </c>
      <c r="N462" t="s">
        <v>29</v>
      </c>
      <c r="O462" s="3">
        <v>45</v>
      </c>
      <c r="P462" t="s">
        <v>30</v>
      </c>
      <c r="Q462" s="3">
        <v>11.13</v>
      </c>
      <c r="R462" s="3">
        <v>106.05</v>
      </c>
      <c r="S462" s="3">
        <v>49.82</v>
      </c>
      <c r="T462" s="3">
        <v>212</v>
      </c>
      <c r="U462" s="3">
        <v>22</v>
      </c>
      <c r="V462" t="s">
        <v>65</v>
      </c>
    </row>
    <row r="463" spans="1:22" x14ac:dyDescent="0.3">
      <c r="A463" t="s">
        <v>547</v>
      </c>
      <c r="B463" s="1">
        <v>46239</v>
      </c>
      <c r="C463" t="s">
        <v>67</v>
      </c>
      <c r="D463" t="s">
        <v>74</v>
      </c>
      <c r="E463" t="s">
        <v>75</v>
      </c>
      <c r="F463" t="s">
        <v>68</v>
      </c>
      <c r="G463" t="s">
        <v>27</v>
      </c>
      <c r="H463">
        <v>1</v>
      </c>
      <c r="I463" s="3">
        <v>549</v>
      </c>
      <c r="J463" s="4">
        <v>25</v>
      </c>
      <c r="K463" s="3">
        <v>412</v>
      </c>
      <c r="L463" s="3">
        <v>412</v>
      </c>
      <c r="M463" t="s">
        <v>28</v>
      </c>
      <c r="N463" t="s">
        <v>37</v>
      </c>
      <c r="O463" s="3">
        <v>55</v>
      </c>
      <c r="P463" t="s">
        <v>30</v>
      </c>
      <c r="Q463" s="3">
        <v>29.86</v>
      </c>
      <c r="R463" s="3">
        <v>212</v>
      </c>
      <c r="S463" s="3">
        <v>115.14</v>
      </c>
      <c r="T463" s="3">
        <v>412</v>
      </c>
      <c r="U463" s="3">
        <v>32</v>
      </c>
      <c r="V463" t="s">
        <v>71</v>
      </c>
    </row>
    <row r="464" spans="1:22" x14ac:dyDescent="0.3">
      <c r="A464" t="s">
        <v>548</v>
      </c>
      <c r="B464" s="1">
        <v>46154</v>
      </c>
      <c r="C464" t="s">
        <v>62</v>
      </c>
      <c r="D464" t="s">
        <v>33</v>
      </c>
      <c r="E464" t="s">
        <v>34</v>
      </c>
      <c r="F464" t="s">
        <v>55</v>
      </c>
      <c r="G464" t="s">
        <v>56</v>
      </c>
      <c r="H464">
        <v>1</v>
      </c>
      <c r="I464" s="3">
        <v>599</v>
      </c>
      <c r="J464" s="4">
        <v>25</v>
      </c>
      <c r="K464" s="3">
        <v>449</v>
      </c>
      <c r="L464" s="3">
        <v>449</v>
      </c>
      <c r="M464" t="s">
        <v>76</v>
      </c>
      <c r="N464" t="s">
        <v>29</v>
      </c>
      <c r="O464" s="3">
        <v>65</v>
      </c>
      <c r="P464" t="s">
        <v>30</v>
      </c>
      <c r="Q464" s="3">
        <v>29.58</v>
      </c>
      <c r="R464" s="3">
        <v>216.64</v>
      </c>
      <c r="S464" s="3">
        <v>137.78</v>
      </c>
      <c r="T464" s="3">
        <v>449</v>
      </c>
      <c r="U464" s="3">
        <v>20</v>
      </c>
      <c r="V464" t="s">
        <v>65</v>
      </c>
    </row>
    <row r="465" spans="1:22" x14ac:dyDescent="0.3">
      <c r="A465" t="s">
        <v>549</v>
      </c>
      <c r="B465" s="1">
        <v>46092</v>
      </c>
      <c r="C465" t="s">
        <v>39</v>
      </c>
      <c r="D465" t="s">
        <v>40</v>
      </c>
      <c r="E465" t="s">
        <v>41</v>
      </c>
      <c r="F465" t="s">
        <v>55</v>
      </c>
      <c r="G465" t="s">
        <v>56</v>
      </c>
      <c r="H465">
        <v>1</v>
      </c>
      <c r="I465" s="3">
        <v>449</v>
      </c>
      <c r="J465" s="4">
        <v>20</v>
      </c>
      <c r="K465" s="3">
        <v>359</v>
      </c>
      <c r="L465" s="3">
        <v>359</v>
      </c>
      <c r="M465" t="s">
        <v>64</v>
      </c>
      <c r="N465" t="s">
        <v>29</v>
      </c>
      <c r="O465" s="3">
        <v>65</v>
      </c>
      <c r="P465" t="s">
        <v>30</v>
      </c>
      <c r="Q465" s="3">
        <v>17.149999999999999</v>
      </c>
      <c r="R465" s="3">
        <v>180.24</v>
      </c>
      <c r="S465" s="3">
        <v>96.61</v>
      </c>
      <c r="T465" s="3">
        <v>359</v>
      </c>
      <c r="U465" s="3">
        <v>11</v>
      </c>
      <c r="V465" t="s">
        <v>43</v>
      </c>
    </row>
    <row r="466" spans="1:22" x14ac:dyDescent="0.3">
      <c r="A466" t="s">
        <v>550</v>
      </c>
      <c r="B466" s="1">
        <v>46274</v>
      </c>
      <c r="C466" t="s">
        <v>86</v>
      </c>
      <c r="D466" t="s">
        <v>93</v>
      </c>
      <c r="E466" t="s">
        <v>47</v>
      </c>
      <c r="F466" t="s">
        <v>26</v>
      </c>
      <c r="G466" t="s">
        <v>27</v>
      </c>
      <c r="H466">
        <v>1</v>
      </c>
      <c r="I466" s="3">
        <v>699</v>
      </c>
      <c r="J466" s="4">
        <v>25</v>
      </c>
      <c r="K466" s="3">
        <v>524</v>
      </c>
      <c r="L466" s="3">
        <v>524</v>
      </c>
      <c r="M466" t="s">
        <v>28</v>
      </c>
      <c r="N466" t="s">
        <v>29</v>
      </c>
      <c r="O466" s="3">
        <v>35</v>
      </c>
      <c r="P466" t="s">
        <v>30</v>
      </c>
      <c r="Q466" s="3">
        <v>30.62</v>
      </c>
      <c r="R466" s="3">
        <v>263.5</v>
      </c>
      <c r="S466" s="3">
        <v>194.88</v>
      </c>
      <c r="T466" s="3">
        <v>524</v>
      </c>
      <c r="U466" s="3">
        <v>37</v>
      </c>
      <c r="V466" t="s">
        <v>87</v>
      </c>
    </row>
    <row r="467" spans="1:22" x14ac:dyDescent="0.3">
      <c r="A467" t="s">
        <v>551</v>
      </c>
      <c r="B467" s="1">
        <v>46204</v>
      </c>
      <c r="C467" t="s">
        <v>45</v>
      </c>
      <c r="D467" t="s">
        <v>130</v>
      </c>
      <c r="E467" t="s">
        <v>54</v>
      </c>
      <c r="F467" t="s">
        <v>84</v>
      </c>
      <c r="G467" t="s">
        <v>84</v>
      </c>
      <c r="H467">
        <v>2</v>
      </c>
      <c r="I467" s="3">
        <v>699</v>
      </c>
      <c r="J467" s="4">
        <v>25</v>
      </c>
      <c r="K467" s="3">
        <v>524</v>
      </c>
      <c r="L467" s="3">
        <v>1048</v>
      </c>
      <c r="M467" t="s">
        <v>76</v>
      </c>
      <c r="N467" t="s">
        <v>37</v>
      </c>
      <c r="O467" s="3">
        <v>55</v>
      </c>
      <c r="P467" t="s">
        <v>30</v>
      </c>
      <c r="Q467" s="3">
        <v>47.87</v>
      </c>
      <c r="R467" s="3">
        <v>472.04</v>
      </c>
      <c r="S467" s="3">
        <v>473.09</v>
      </c>
      <c r="T467" s="3">
        <v>524</v>
      </c>
      <c r="U467" s="3">
        <v>27</v>
      </c>
      <c r="V467" t="s">
        <v>50</v>
      </c>
    </row>
    <row r="468" spans="1:22" x14ac:dyDescent="0.3">
      <c r="A468" t="s">
        <v>552</v>
      </c>
      <c r="B468" s="1">
        <v>46189</v>
      </c>
      <c r="C468" t="s">
        <v>78</v>
      </c>
      <c r="D468" t="s">
        <v>46</v>
      </c>
      <c r="E468" t="s">
        <v>47</v>
      </c>
      <c r="F468" t="s">
        <v>26</v>
      </c>
      <c r="G468" t="s">
        <v>27</v>
      </c>
      <c r="H468">
        <v>1</v>
      </c>
      <c r="I468" s="3">
        <v>899</v>
      </c>
      <c r="J468" s="4">
        <v>15</v>
      </c>
      <c r="K468" s="3">
        <v>764</v>
      </c>
      <c r="L468" s="3">
        <v>764</v>
      </c>
      <c r="M468" t="s">
        <v>28</v>
      </c>
      <c r="N468" t="s">
        <v>37</v>
      </c>
      <c r="O468" s="3">
        <v>55</v>
      </c>
      <c r="P468" t="s">
        <v>30</v>
      </c>
      <c r="Q468" s="3">
        <v>51.32</v>
      </c>
      <c r="R468" s="3">
        <v>369.12</v>
      </c>
      <c r="S468" s="3">
        <v>288.56</v>
      </c>
      <c r="T468" s="3">
        <v>764</v>
      </c>
      <c r="U468" s="3">
        <v>25</v>
      </c>
      <c r="V468" t="s">
        <v>81</v>
      </c>
    </row>
    <row r="469" spans="1:22" x14ac:dyDescent="0.3">
      <c r="A469" t="s">
        <v>553</v>
      </c>
      <c r="B469" s="1">
        <v>46113</v>
      </c>
      <c r="C469" t="s">
        <v>23</v>
      </c>
      <c r="D469" t="s">
        <v>74</v>
      </c>
      <c r="E469" t="s">
        <v>75</v>
      </c>
      <c r="F469" t="s">
        <v>48</v>
      </c>
      <c r="G469" t="s">
        <v>49</v>
      </c>
      <c r="H469">
        <v>1</v>
      </c>
      <c r="I469" s="3">
        <v>549</v>
      </c>
      <c r="J469" s="4">
        <v>40</v>
      </c>
      <c r="K469" s="3">
        <v>329</v>
      </c>
      <c r="L469" s="3">
        <v>329</v>
      </c>
      <c r="M469" t="s">
        <v>28</v>
      </c>
      <c r="N469" t="s">
        <v>29</v>
      </c>
      <c r="O469" s="3">
        <v>65</v>
      </c>
      <c r="P469" t="s">
        <v>30</v>
      </c>
      <c r="Q469" s="3">
        <v>13.3</v>
      </c>
      <c r="R469" s="3">
        <v>156.09</v>
      </c>
      <c r="S469" s="3">
        <v>94.61</v>
      </c>
      <c r="T469" s="3">
        <v>329</v>
      </c>
      <c r="U469" s="3">
        <v>14</v>
      </c>
      <c r="V469" t="s">
        <v>31</v>
      </c>
    </row>
    <row r="470" spans="1:22" x14ac:dyDescent="0.3">
      <c r="A470" t="s">
        <v>554</v>
      </c>
      <c r="B470" s="1">
        <v>46224</v>
      </c>
      <c r="C470" t="s">
        <v>45</v>
      </c>
      <c r="D470" t="s">
        <v>59</v>
      </c>
      <c r="E470" t="s">
        <v>60</v>
      </c>
      <c r="F470" t="s">
        <v>48</v>
      </c>
      <c r="G470" t="s">
        <v>49</v>
      </c>
      <c r="H470">
        <v>1</v>
      </c>
      <c r="I470" s="3">
        <v>299</v>
      </c>
      <c r="J470" s="4">
        <v>10</v>
      </c>
      <c r="K470" s="3">
        <v>269</v>
      </c>
      <c r="L470" s="3">
        <v>269</v>
      </c>
      <c r="M470" t="s">
        <v>28</v>
      </c>
      <c r="N470" t="s">
        <v>37</v>
      </c>
      <c r="O470" s="3">
        <v>55</v>
      </c>
      <c r="P470" t="s">
        <v>30</v>
      </c>
      <c r="Q470" s="3">
        <v>16.2</v>
      </c>
      <c r="R470" s="3">
        <v>126.64</v>
      </c>
      <c r="S470" s="3">
        <v>71.16</v>
      </c>
      <c r="T470" s="3">
        <v>269</v>
      </c>
      <c r="U470" s="3">
        <v>30</v>
      </c>
      <c r="V470" t="s">
        <v>50</v>
      </c>
    </row>
    <row r="471" spans="1:22" x14ac:dyDescent="0.3">
      <c r="A471" t="s">
        <v>555</v>
      </c>
      <c r="B471" s="1">
        <v>46041</v>
      </c>
      <c r="C471" t="s">
        <v>52</v>
      </c>
      <c r="D471" t="s">
        <v>40</v>
      </c>
      <c r="E471" t="s">
        <v>41</v>
      </c>
      <c r="F471" t="s">
        <v>109</v>
      </c>
      <c r="G471" t="s">
        <v>110</v>
      </c>
      <c r="H471">
        <v>1</v>
      </c>
      <c r="I471" s="3">
        <v>449</v>
      </c>
      <c r="J471" s="4">
        <v>20</v>
      </c>
      <c r="K471" s="3">
        <v>359</v>
      </c>
      <c r="L471" s="3">
        <v>359</v>
      </c>
      <c r="M471" t="s">
        <v>64</v>
      </c>
      <c r="N471" t="s">
        <v>29</v>
      </c>
      <c r="O471" s="3">
        <v>45</v>
      </c>
      <c r="P471" t="s">
        <v>30</v>
      </c>
      <c r="Q471" s="3">
        <v>20.32</v>
      </c>
      <c r="R471" s="3">
        <v>165.94</v>
      </c>
      <c r="S471" s="3">
        <v>127.74</v>
      </c>
      <c r="T471" s="3">
        <v>359</v>
      </c>
      <c r="U471" s="3">
        <v>4</v>
      </c>
      <c r="V471" t="s">
        <v>57</v>
      </c>
    </row>
    <row r="472" spans="1:22" x14ac:dyDescent="0.3">
      <c r="A472" t="s">
        <v>556</v>
      </c>
      <c r="B472" s="1">
        <v>46061</v>
      </c>
      <c r="C472" t="s">
        <v>95</v>
      </c>
      <c r="D472" t="s">
        <v>74</v>
      </c>
      <c r="E472" t="s">
        <v>75</v>
      </c>
      <c r="F472" t="s">
        <v>100</v>
      </c>
      <c r="G472" t="s">
        <v>101</v>
      </c>
      <c r="H472">
        <v>2</v>
      </c>
      <c r="I472" s="3">
        <v>549</v>
      </c>
      <c r="J472" s="4">
        <v>25</v>
      </c>
      <c r="K472" s="3">
        <v>412</v>
      </c>
      <c r="L472" s="3">
        <v>824</v>
      </c>
      <c r="M472" t="s">
        <v>28</v>
      </c>
      <c r="N472" t="s">
        <v>29</v>
      </c>
      <c r="O472" s="3">
        <v>35</v>
      </c>
      <c r="P472" t="s">
        <v>30</v>
      </c>
      <c r="Q472" s="3">
        <v>42.09</v>
      </c>
      <c r="R472" s="3">
        <v>349.88</v>
      </c>
      <c r="S472" s="3">
        <v>397.03</v>
      </c>
      <c r="T472" s="3">
        <v>412</v>
      </c>
      <c r="U472" s="3">
        <v>6</v>
      </c>
      <c r="V472" t="s">
        <v>96</v>
      </c>
    </row>
    <row r="473" spans="1:22" x14ac:dyDescent="0.3">
      <c r="A473" t="s">
        <v>557</v>
      </c>
      <c r="B473" s="1">
        <v>46148</v>
      </c>
      <c r="C473" t="s">
        <v>62</v>
      </c>
      <c r="D473" t="s">
        <v>115</v>
      </c>
      <c r="E473" t="s">
        <v>116</v>
      </c>
      <c r="F473" t="s">
        <v>26</v>
      </c>
      <c r="G473" t="s">
        <v>27</v>
      </c>
      <c r="H473">
        <v>2</v>
      </c>
      <c r="I473" s="3">
        <v>249</v>
      </c>
      <c r="J473" s="4">
        <v>15</v>
      </c>
      <c r="K473" s="3">
        <v>212</v>
      </c>
      <c r="L473" s="3">
        <v>424</v>
      </c>
      <c r="M473" t="s">
        <v>64</v>
      </c>
      <c r="N473" t="s">
        <v>37</v>
      </c>
      <c r="O473" s="3">
        <v>35</v>
      </c>
      <c r="P473" t="s">
        <v>30</v>
      </c>
      <c r="Q473" s="3">
        <v>32.57</v>
      </c>
      <c r="R473" s="3">
        <v>192.71</v>
      </c>
      <c r="S473" s="3">
        <v>163.72</v>
      </c>
      <c r="T473" s="3">
        <v>212</v>
      </c>
      <c r="U473" s="3">
        <v>19</v>
      </c>
      <c r="V473" t="s">
        <v>65</v>
      </c>
    </row>
    <row r="474" spans="1:22" x14ac:dyDescent="0.3">
      <c r="A474" t="s">
        <v>558</v>
      </c>
      <c r="B474" s="1">
        <v>46195</v>
      </c>
      <c r="C474" t="s">
        <v>78</v>
      </c>
      <c r="D474" t="s">
        <v>40</v>
      </c>
      <c r="E474" t="s">
        <v>41</v>
      </c>
      <c r="F474" t="s">
        <v>48</v>
      </c>
      <c r="G474" t="s">
        <v>49</v>
      </c>
      <c r="H474">
        <v>1</v>
      </c>
      <c r="I474" s="3">
        <v>449</v>
      </c>
      <c r="J474" s="4">
        <v>15</v>
      </c>
      <c r="K474" s="3">
        <v>382</v>
      </c>
      <c r="L474" s="3">
        <v>382</v>
      </c>
      <c r="M474" t="s">
        <v>28</v>
      </c>
      <c r="N474" t="s">
        <v>29</v>
      </c>
      <c r="O474" s="3">
        <v>65</v>
      </c>
      <c r="P474" t="s">
        <v>30</v>
      </c>
      <c r="Q474" s="3">
        <v>23.12</v>
      </c>
      <c r="R474" s="3">
        <v>171.19</v>
      </c>
      <c r="S474" s="3">
        <v>122.69</v>
      </c>
      <c r="T474" s="3">
        <v>382</v>
      </c>
      <c r="U474" s="3">
        <v>26</v>
      </c>
      <c r="V474" t="s">
        <v>81</v>
      </c>
    </row>
    <row r="475" spans="1:22" x14ac:dyDescent="0.3">
      <c r="A475" t="s">
        <v>559</v>
      </c>
      <c r="B475" s="1">
        <v>46163</v>
      </c>
      <c r="C475" t="s">
        <v>62</v>
      </c>
      <c r="D475" t="s">
        <v>112</v>
      </c>
      <c r="E475" t="s">
        <v>47</v>
      </c>
      <c r="F475" t="s">
        <v>42</v>
      </c>
      <c r="G475" t="s">
        <v>27</v>
      </c>
      <c r="H475">
        <v>1</v>
      </c>
      <c r="I475" s="3">
        <v>299</v>
      </c>
      <c r="J475" s="4">
        <v>35</v>
      </c>
      <c r="K475" s="3">
        <v>194</v>
      </c>
      <c r="L475" s="3">
        <v>194</v>
      </c>
      <c r="M475" t="s">
        <v>28</v>
      </c>
      <c r="N475" t="s">
        <v>37</v>
      </c>
      <c r="O475" s="3">
        <v>65</v>
      </c>
      <c r="P475" t="s">
        <v>30</v>
      </c>
      <c r="Q475" s="3">
        <v>10.15</v>
      </c>
      <c r="R475" s="3">
        <v>86.18</v>
      </c>
      <c r="S475" s="3">
        <v>32.67</v>
      </c>
      <c r="T475" s="3">
        <v>194</v>
      </c>
      <c r="U475" s="3">
        <v>21</v>
      </c>
      <c r="V475" t="s">
        <v>65</v>
      </c>
    </row>
    <row r="476" spans="1:22" x14ac:dyDescent="0.3">
      <c r="A476" t="s">
        <v>560</v>
      </c>
      <c r="B476" s="1">
        <v>46264</v>
      </c>
      <c r="C476" t="s">
        <v>67</v>
      </c>
      <c r="D476" t="s">
        <v>33</v>
      </c>
      <c r="E476" t="s">
        <v>34</v>
      </c>
      <c r="F476" t="s">
        <v>42</v>
      </c>
      <c r="G476" t="s">
        <v>27</v>
      </c>
      <c r="H476">
        <v>1</v>
      </c>
      <c r="I476" s="3">
        <v>599</v>
      </c>
      <c r="J476" s="4">
        <v>10</v>
      </c>
      <c r="K476" s="3">
        <v>539</v>
      </c>
      <c r="L476" s="3">
        <v>539</v>
      </c>
      <c r="M476" t="s">
        <v>28</v>
      </c>
      <c r="N476" t="s">
        <v>29</v>
      </c>
      <c r="O476" s="3">
        <v>45</v>
      </c>
      <c r="P476" t="s">
        <v>30</v>
      </c>
      <c r="Q476" s="3">
        <v>23.89</v>
      </c>
      <c r="R476" s="3">
        <v>238.92</v>
      </c>
      <c r="S476" s="3">
        <v>231.19</v>
      </c>
      <c r="T476" s="3">
        <v>539</v>
      </c>
      <c r="U476" s="3">
        <v>35</v>
      </c>
      <c r="V476" t="s">
        <v>71</v>
      </c>
    </row>
    <row r="477" spans="1:22" x14ac:dyDescent="0.3">
      <c r="A477" t="s">
        <v>561</v>
      </c>
      <c r="B477" s="1">
        <v>46242</v>
      </c>
      <c r="C477" t="s">
        <v>67</v>
      </c>
      <c r="D477" t="s">
        <v>40</v>
      </c>
      <c r="E477" t="s">
        <v>41</v>
      </c>
      <c r="F477" t="s">
        <v>79</v>
      </c>
      <c r="G477" t="s">
        <v>80</v>
      </c>
      <c r="H477">
        <v>1</v>
      </c>
      <c r="I477" s="3">
        <v>449</v>
      </c>
      <c r="J477" s="4">
        <v>10</v>
      </c>
      <c r="K477" s="3">
        <v>404</v>
      </c>
      <c r="L477" s="3">
        <v>404</v>
      </c>
      <c r="M477" t="s">
        <v>28</v>
      </c>
      <c r="N477" t="s">
        <v>37</v>
      </c>
      <c r="O477" s="3">
        <v>35</v>
      </c>
      <c r="P477" t="s">
        <v>30</v>
      </c>
      <c r="Q477" s="3">
        <v>23.34</v>
      </c>
      <c r="R477" s="3">
        <v>196.97</v>
      </c>
      <c r="S477" s="3">
        <v>148.69</v>
      </c>
      <c r="T477" s="3">
        <v>404</v>
      </c>
      <c r="U477" s="3">
        <v>32</v>
      </c>
      <c r="V477" t="s">
        <v>71</v>
      </c>
    </row>
    <row r="478" spans="1:22" x14ac:dyDescent="0.3">
      <c r="A478" t="s">
        <v>562</v>
      </c>
      <c r="B478" s="1">
        <v>46148</v>
      </c>
      <c r="C478" t="s">
        <v>62</v>
      </c>
      <c r="D478" t="s">
        <v>46</v>
      </c>
      <c r="E478" t="s">
        <v>47</v>
      </c>
      <c r="F478" t="s">
        <v>55</v>
      </c>
      <c r="G478" t="s">
        <v>56</v>
      </c>
      <c r="H478">
        <v>1</v>
      </c>
      <c r="I478" s="3">
        <v>899</v>
      </c>
      <c r="J478" s="4">
        <v>5</v>
      </c>
      <c r="K478" s="3">
        <v>854</v>
      </c>
      <c r="L478" s="3">
        <v>854</v>
      </c>
      <c r="M478" t="s">
        <v>28</v>
      </c>
      <c r="N478" t="s">
        <v>29</v>
      </c>
      <c r="O478" s="3">
        <v>65</v>
      </c>
      <c r="P478" t="s">
        <v>30</v>
      </c>
      <c r="Q478" s="3">
        <v>67.94</v>
      </c>
      <c r="R478" s="3">
        <v>399.95</v>
      </c>
      <c r="S478" s="3">
        <v>321.11</v>
      </c>
      <c r="T478" s="3">
        <v>854</v>
      </c>
      <c r="U478" s="3">
        <v>19</v>
      </c>
      <c r="V478" t="s">
        <v>65</v>
      </c>
    </row>
    <row r="479" spans="1:22" x14ac:dyDescent="0.3">
      <c r="A479" t="s">
        <v>563</v>
      </c>
      <c r="B479" s="1">
        <v>46080</v>
      </c>
      <c r="C479" t="s">
        <v>95</v>
      </c>
      <c r="D479" t="s">
        <v>40</v>
      </c>
      <c r="E479" t="s">
        <v>41</v>
      </c>
      <c r="F479" t="s">
        <v>109</v>
      </c>
      <c r="G479" t="s">
        <v>110</v>
      </c>
      <c r="H479">
        <v>1</v>
      </c>
      <c r="I479" s="3">
        <v>449</v>
      </c>
      <c r="J479" s="4">
        <v>20</v>
      </c>
      <c r="K479" s="3">
        <v>359</v>
      </c>
      <c r="L479" s="3">
        <v>359</v>
      </c>
      <c r="M479" t="s">
        <v>69</v>
      </c>
      <c r="N479" t="s">
        <v>37</v>
      </c>
      <c r="O479" s="3">
        <v>65</v>
      </c>
      <c r="P479" t="s">
        <v>70</v>
      </c>
      <c r="Q479" s="3">
        <v>26.75</v>
      </c>
      <c r="R479" s="3">
        <v>160.37</v>
      </c>
      <c r="S479" s="3">
        <v>106.88</v>
      </c>
      <c r="T479" s="3">
        <v>359</v>
      </c>
      <c r="U479" s="3">
        <v>9</v>
      </c>
      <c r="V479" t="s">
        <v>96</v>
      </c>
    </row>
    <row r="480" spans="1:22" x14ac:dyDescent="0.3">
      <c r="A480" t="s">
        <v>564</v>
      </c>
      <c r="B480" s="1">
        <v>46170</v>
      </c>
      <c r="C480" t="s">
        <v>62</v>
      </c>
      <c r="D480" t="s">
        <v>53</v>
      </c>
      <c r="E480" t="s">
        <v>54</v>
      </c>
      <c r="F480" t="s">
        <v>68</v>
      </c>
      <c r="G480" t="s">
        <v>27</v>
      </c>
      <c r="H480">
        <v>1</v>
      </c>
      <c r="I480" s="3">
        <v>499</v>
      </c>
      <c r="J480" s="4">
        <v>30</v>
      </c>
      <c r="K480" s="3">
        <v>349</v>
      </c>
      <c r="L480" s="3">
        <v>349</v>
      </c>
      <c r="M480" t="s">
        <v>28</v>
      </c>
      <c r="N480" t="s">
        <v>29</v>
      </c>
      <c r="O480" s="3">
        <v>65</v>
      </c>
      <c r="P480" t="s">
        <v>30</v>
      </c>
      <c r="Q480" s="3">
        <v>14.92</v>
      </c>
      <c r="R480" s="3">
        <v>181.2</v>
      </c>
      <c r="S480" s="3">
        <v>87.88</v>
      </c>
      <c r="T480" s="3">
        <v>349</v>
      </c>
      <c r="U480" s="3">
        <v>22</v>
      </c>
      <c r="V480" t="s">
        <v>65</v>
      </c>
    </row>
    <row r="481" spans="1:22" x14ac:dyDescent="0.3">
      <c r="A481" t="s">
        <v>565</v>
      </c>
      <c r="B481" s="1">
        <v>46023</v>
      </c>
      <c r="C481" t="s">
        <v>52</v>
      </c>
      <c r="D481" t="s">
        <v>93</v>
      </c>
      <c r="E481" t="s">
        <v>47</v>
      </c>
      <c r="F481" t="s">
        <v>79</v>
      </c>
      <c r="G481" t="s">
        <v>80</v>
      </c>
      <c r="H481">
        <v>1</v>
      </c>
      <c r="I481" s="3">
        <v>699</v>
      </c>
      <c r="J481" s="4">
        <v>15</v>
      </c>
      <c r="K481" s="3">
        <v>594</v>
      </c>
      <c r="L481" s="3">
        <v>594</v>
      </c>
      <c r="M481" t="s">
        <v>28</v>
      </c>
      <c r="N481" t="s">
        <v>37</v>
      </c>
      <c r="O481" s="3">
        <v>35</v>
      </c>
      <c r="P481" t="s">
        <v>30</v>
      </c>
      <c r="Q481" s="3">
        <v>30.68</v>
      </c>
      <c r="R481" s="3">
        <v>274.27</v>
      </c>
      <c r="S481" s="3">
        <v>254.05</v>
      </c>
      <c r="T481" s="3">
        <v>594</v>
      </c>
      <c r="U481" s="3">
        <v>1</v>
      </c>
      <c r="V481" t="s">
        <v>57</v>
      </c>
    </row>
    <row r="482" spans="1:22" x14ac:dyDescent="0.3">
      <c r="A482" t="s">
        <v>566</v>
      </c>
      <c r="B482" s="1">
        <v>46212</v>
      </c>
      <c r="C482" t="s">
        <v>45</v>
      </c>
      <c r="D482" t="s">
        <v>112</v>
      </c>
      <c r="E482" t="s">
        <v>47</v>
      </c>
      <c r="F482" t="s">
        <v>35</v>
      </c>
      <c r="G482" t="s">
        <v>36</v>
      </c>
      <c r="H482">
        <v>2</v>
      </c>
      <c r="I482" s="3">
        <v>299</v>
      </c>
      <c r="J482" s="4">
        <v>30</v>
      </c>
      <c r="K482" s="3">
        <v>209</v>
      </c>
      <c r="L482" s="3">
        <v>418</v>
      </c>
      <c r="M482" t="s">
        <v>28</v>
      </c>
      <c r="N482" t="s">
        <v>37</v>
      </c>
      <c r="O482" s="3">
        <v>35</v>
      </c>
      <c r="P482" t="s">
        <v>30</v>
      </c>
      <c r="Q482" s="3">
        <v>32.659999999999997</v>
      </c>
      <c r="R482" s="3">
        <v>178.08</v>
      </c>
      <c r="S482" s="3">
        <v>172.26</v>
      </c>
      <c r="T482" s="3">
        <v>209</v>
      </c>
      <c r="U482" s="3">
        <v>28</v>
      </c>
      <c r="V482" t="s">
        <v>50</v>
      </c>
    </row>
    <row r="483" spans="1:22" x14ac:dyDescent="0.3">
      <c r="A483" t="s">
        <v>567</v>
      </c>
      <c r="B483" s="1">
        <v>46213</v>
      </c>
      <c r="C483" t="s">
        <v>45</v>
      </c>
      <c r="D483" t="s">
        <v>93</v>
      </c>
      <c r="E483" t="s">
        <v>47</v>
      </c>
      <c r="F483" t="s">
        <v>109</v>
      </c>
      <c r="G483" t="s">
        <v>110</v>
      </c>
      <c r="H483">
        <v>1</v>
      </c>
      <c r="I483" s="3">
        <v>699</v>
      </c>
      <c r="J483" s="4">
        <v>10</v>
      </c>
      <c r="K483" s="3">
        <v>629</v>
      </c>
      <c r="L483" s="3">
        <v>629</v>
      </c>
      <c r="M483" t="s">
        <v>76</v>
      </c>
      <c r="N483" t="s">
        <v>37</v>
      </c>
      <c r="O483" s="3">
        <v>45</v>
      </c>
      <c r="P483" t="s">
        <v>30</v>
      </c>
      <c r="Q483" s="3">
        <v>43.22</v>
      </c>
      <c r="R483" s="3">
        <v>282.02</v>
      </c>
      <c r="S483" s="3">
        <v>258.76</v>
      </c>
      <c r="T483" s="3">
        <v>629</v>
      </c>
      <c r="U483" s="3">
        <v>28</v>
      </c>
      <c r="V483" t="s">
        <v>50</v>
      </c>
    </row>
    <row r="484" spans="1:22" x14ac:dyDescent="0.3">
      <c r="A484" t="s">
        <v>568</v>
      </c>
      <c r="B484" s="1">
        <v>46139</v>
      </c>
      <c r="C484" t="s">
        <v>23</v>
      </c>
      <c r="D484" t="s">
        <v>46</v>
      </c>
      <c r="E484" t="s">
        <v>47</v>
      </c>
      <c r="F484" t="s">
        <v>84</v>
      </c>
      <c r="G484" t="s">
        <v>84</v>
      </c>
      <c r="H484">
        <v>2</v>
      </c>
      <c r="I484" s="3">
        <v>899</v>
      </c>
      <c r="J484" s="4">
        <v>5</v>
      </c>
      <c r="K484" s="3">
        <v>854</v>
      </c>
      <c r="L484" s="3">
        <v>1708</v>
      </c>
      <c r="M484" t="s">
        <v>64</v>
      </c>
      <c r="N484" t="s">
        <v>37</v>
      </c>
      <c r="O484" s="3">
        <v>45</v>
      </c>
      <c r="P484" t="s">
        <v>30</v>
      </c>
      <c r="Q484" s="3">
        <v>73.64</v>
      </c>
      <c r="R484" s="3">
        <v>880.55</v>
      </c>
      <c r="S484" s="3">
        <v>708.81</v>
      </c>
      <c r="T484" s="3">
        <v>854</v>
      </c>
      <c r="U484" s="3">
        <v>18</v>
      </c>
      <c r="V484" t="s">
        <v>31</v>
      </c>
    </row>
    <row r="485" spans="1:22" x14ac:dyDescent="0.3">
      <c r="A485" t="s">
        <v>569</v>
      </c>
      <c r="B485" s="1">
        <v>46156</v>
      </c>
      <c r="C485" t="s">
        <v>62</v>
      </c>
      <c r="D485" t="s">
        <v>63</v>
      </c>
      <c r="E485" t="s">
        <v>47</v>
      </c>
      <c r="F485" t="s">
        <v>109</v>
      </c>
      <c r="G485" t="s">
        <v>110</v>
      </c>
      <c r="H485">
        <v>1</v>
      </c>
      <c r="I485" s="3">
        <v>399</v>
      </c>
      <c r="J485" s="4">
        <v>20</v>
      </c>
      <c r="K485" s="3">
        <v>319</v>
      </c>
      <c r="L485" s="3">
        <v>319</v>
      </c>
      <c r="M485" t="s">
        <v>76</v>
      </c>
      <c r="N485" t="s">
        <v>29</v>
      </c>
      <c r="O485" s="3">
        <v>45</v>
      </c>
      <c r="P485" t="s">
        <v>30</v>
      </c>
      <c r="Q485" s="3">
        <v>19.170000000000002</v>
      </c>
      <c r="R485" s="3">
        <v>134.44</v>
      </c>
      <c r="S485" s="3">
        <v>120.39</v>
      </c>
      <c r="T485" s="3">
        <v>319</v>
      </c>
      <c r="U485" s="3">
        <v>20</v>
      </c>
      <c r="V485" t="s">
        <v>65</v>
      </c>
    </row>
    <row r="486" spans="1:22" x14ac:dyDescent="0.3">
      <c r="A486" t="s">
        <v>570</v>
      </c>
      <c r="B486" s="1">
        <v>46080</v>
      </c>
      <c r="C486" t="s">
        <v>95</v>
      </c>
      <c r="D486" t="s">
        <v>115</v>
      </c>
      <c r="E486" t="s">
        <v>116</v>
      </c>
      <c r="F486" t="s">
        <v>100</v>
      </c>
      <c r="G486" t="s">
        <v>101</v>
      </c>
      <c r="H486">
        <v>1</v>
      </c>
      <c r="I486" s="3">
        <v>249</v>
      </c>
      <c r="J486" s="4">
        <v>15</v>
      </c>
      <c r="K486" s="3">
        <v>212</v>
      </c>
      <c r="L486" s="3">
        <v>212</v>
      </c>
      <c r="M486" t="s">
        <v>28</v>
      </c>
      <c r="N486" t="s">
        <v>29</v>
      </c>
      <c r="O486" s="3">
        <v>65</v>
      </c>
      <c r="P486" t="s">
        <v>30</v>
      </c>
      <c r="Q486" s="3">
        <v>14.88</v>
      </c>
      <c r="R486" s="3">
        <v>98.48</v>
      </c>
      <c r="S486" s="3">
        <v>33.64</v>
      </c>
      <c r="T486" s="3">
        <v>212</v>
      </c>
      <c r="U486" s="3">
        <v>9</v>
      </c>
      <c r="V486" t="s">
        <v>96</v>
      </c>
    </row>
    <row r="487" spans="1:22" x14ac:dyDescent="0.3">
      <c r="A487" t="s">
        <v>571</v>
      </c>
      <c r="B487" s="1">
        <v>46066</v>
      </c>
      <c r="C487" t="s">
        <v>95</v>
      </c>
      <c r="D487" t="s">
        <v>46</v>
      </c>
      <c r="E487" t="s">
        <v>47</v>
      </c>
      <c r="F487" t="s">
        <v>68</v>
      </c>
      <c r="G487" t="s">
        <v>27</v>
      </c>
      <c r="H487">
        <v>1</v>
      </c>
      <c r="I487" s="3">
        <v>899</v>
      </c>
      <c r="J487" s="4">
        <v>20</v>
      </c>
      <c r="K487" s="3">
        <v>719</v>
      </c>
      <c r="L487" s="3">
        <v>719</v>
      </c>
      <c r="M487" t="s">
        <v>64</v>
      </c>
      <c r="N487" t="s">
        <v>37</v>
      </c>
      <c r="O487" s="3">
        <v>45</v>
      </c>
      <c r="P487" t="s">
        <v>30</v>
      </c>
      <c r="Q487" s="3">
        <v>50.03</v>
      </c>
      <c r="R487" s="3">
        <v>348.39</v>
      </c>
      <c r="S487" s="3">
        <v>275.58</v>
      </c>
      <c r="T487" s="3">
        <v>719</v>
      </c>
      <c r="U487" s="3">
        <v>7</v>
      </c>
      <c r="V487" t="s">
        <v>96</v>
      </c>
    </row>
    <row r="488" spans="1:22" x14ac:dyDescent="0.3">
      <c r="A488" t="s">
        <v>572</v>
      </c>
      <c r="B488" s="1">
        <v>46195</v>
      </c>
      <c r="C488" t="s">
        <v>78</v>
      </c>
      <c r="D488" t="s">
        <v>63</v>
      </c>
      <c r="E488" t="s">
        <v>47</v>
      </c>
      <c r="F488" t="s">
        <v>68</v>
      </c>
      <c r="G488" t="s">
        <v>27</v>
      </c>
      <c r="H488">
        <v>1</v>
      </c>
      <c r="I488" s="3">
        <v>399</v>
      </c>
      <c r="J488" s="4">
        <v>20</v>
      </c>
      <c r="K488" s="3">
        <v>319</v>
      </c>
      <c r="L488" s="3">
        <v>319</v>
      </c>
      <c r="M488" t="s">
        <v>28</v>
      </c>
      <c r="N488" t="s">
        <v>37</v>
      </c>
      <c r="O488" s="3">
        <v>55</v>
      </c>
      <c r="P488" t="s">
        <v>30</v>
      </c>
      <c r="Q488" s="3">
        <v>24.89</v>
      </c>
      <c r="R488" s="3">
        <v>140.68</v>
      </c>
      <c r="S488" s="3">
        <v>98.43</v>
      </c>
      <c r="T488" s="3">
        <v>319</v>
      </c>
      <c r="U488" s="3">
        <v>26</v>
      </c>
      <c r="V488" t="s">
        <v>81</v>
      </c>
    </row>
    <row r="489" spans="1:22" x14ac:dyDescent="0.3">
      <c r="A489" t="s">
        <v>573</v>
      </c>
      <c r="B489" s="1">
        <v>46182</v>
      </c>
      <c r="C489" t="s">
        <v>78</v>
      </c>
      <c r="D489" t="s">
        <v>33</v>
      </c>
      <c r="E489" t="s">
        <v>34</v>
      </c>
      <c r="F489" t="s">
        <v>68</v>
      </c>
      <c r="G489" t="s">
        <v>27</v>
      </c>
      <c r="H489">
        <v>1</v>
      </c>
      <c r="I489" s="3">
        <v>599</v>
      </c>
      <c r="J489" s="4">
        <v>25</v>
      </c>
      <c r="K489" s="3">
        <v>449</v>
      </c>
      <c r="L489" s="3">
        <v>449</v>
      </c>
      <c r="M489" t="s">
        <v>64</v>
      </c>
      <c r="N489" t="s">
        <v>29</v>
      </c>
      <c r="O489" s="3">
        <v>55</v>
      </c>
      <c r="P489" t="s">
        <v>30</v>
      </c>
      <c r="Q489" s="3">
        <v>34.979999999999997</v>
      </c>
      <c r="R489" s="3">
        <v>194.92</v>
      </c>
      <c r="S489" s="3">
        <v>164.1</v>
      </c>
      <c r="T489" s="3">
        <v>449</v>
      </c>
      <c r="U489" s="3">
        <v>24</v>
      </c>
      <c r="V489" t="s">
        <v>81</v>
      </c>
    </row>
    <row r="490" spans="1:22" x14ac:dyDescent="0.3">
      <c r="A490" t="s">
        <v>574</v>
      </c>
      <c r="B490" s="1">
        <v>46195</v>
      </c>
      <c r="C490" t="s">
        <v>78</v>
      </c>
      <c r="D490" t="s">
        <v>93</v>
      </c>
      <c r="E490" t="s">
        <v>47</v>
      </c>
      <c r="F490" t="s">
        <v>55</v>
      </c>
      <c r="G490" t="s">
        <v>56</v>
      </c>
      <c r="H490">
        <v>1</v>
      </c>
      <c r="I490" s="3">
        <v>699</v>
      </c>
      <c r="J490" s="4">
        <v>20</v>
      </c>
      <c r="K490" s="3">
        <v>559</v>
      </c>
      <c r="L490" s="3">
        <v>559</v>
      </c>
      <c r="M490" t="s">
        <v>28</v>
      </c>
      <c r="N490" t="s">
        <v>37</v>
      </c>
      <c r="O490" s="3">
        <v>55</v>
      </c>
      <c r="P490" t="s">
        <v>30</v>
      </c>
      <c r="Q490" s="3">
        <v>36.39</v>
      </c>
      <c r="R490" s="3">
        <v>245.51</v>
      </c>
      <c r="S490" s="3">
        <v>222.1</v>
      </c>
      <c r="T490" s="3">
        <v>559</v>
      </c>
      <c r="U490" s="3">
        <v>26</v>
      </c>
      <c r="V490" t="s">
        <v>81</v>
      </c>
    </row>
    <row r="491" spans="1:22" x14ac:dyDescent="0.3">
      <c r="A491" t="s">
        <v>575</v>
      </c>
      <c r="B491" s="1">
        <v>46171</v>
      </c>
      <c r="C491" t="s">
        <v>62</v>
      </c>
      <c r="D491" t="s">
        <v>53</v>
      </c>
      <c r="E491" t="s">
        <v>54</v>
      </c>
      <c r="F491" t="s">
        <v>48</v>
      </c>
      <c r="G491" t="s">
        <v>49</v>
      </c>
      <c r="H491">
        <v>2</v>
      </c>
      <c r="I491" s="3">
        <v>499</v>
      </c>
      <c r="J491" s="4">
        <v>35</v>
      </c>
      <c r="K491" s="3">
        <v>324</v>
      </c>
      <c r="L491" s="3">
        <v>648</v>
      </c>
      <c r="M491" t="s">
        <v>28</v>
      </c>
      <c r="N491" t="s">
        <v>37</v>
      </c>
      <c r="O491" s="3">
        <v>45</v>
      </c>
      <c r="P491" t="s">
        <v>30</v>
      </c>
      <c r="Q491" s="3">
        <v>49.87</v>
      </c>
      <c r="R491" s="3">
        <v>325.32</v>
      </c>
      <c r="S491" s="3">
        <v>227.81</v>
      </c>
      <c r="T491" s="3">
        <v>324</v>
      </c>
      <c r="U491" s="3">
        <v>22</v>
      </c>
      <c r="V491" t="s">
        <v>65</v>
      </c>
    </row>
    <row r="492" spans="1:22" x14ac:dyDescent="0.3">
      <c r="A492" t="s">
        <v>576</v>
      </c>
      <c r="B492" s="1">
        <v>46102</v>
      </c>
      <c r="C492" t="s">
        <v>39</v>
      </c>
      <c r="D492" t="s">
        <v>130</v>
      </c>
      <c r="E492" t="s">
        <v>54</v>
      </c>
      <c r="F492" t="s">
        <v>109</v>
      </c>
      <c r="G492" t="s">
        <v>110</v>
      </c>
      <c r="H492">
        <v>1</v>
      </c>
      <c r="I492" s="3">
        <v>699</v>
      </c>
      <c r="J492" s="4">
        <v>10</v>
      </c>
      <c r="K492" s="3">
        <v>629</v>
      </c>
      <c r="L492" s="3">
        <v>629</v>
      </c>
      <c r="M492" t="s">
        <v>28</v>
      </c>
      <c r="N492" t="s">
        <v>37</v>
      </c>
      <c r="O492" s="3">
        <v>65</v>
      </c>
      <c r="P492" t="s">
        <v>30</v>
      </c>
      <c r="Q492" s="3">
        <v>39.049999999999997</v>
      </c>
      <c r="R492" s="3">
        <v>279.39</v>
      </c>
      <c r="S492" s="3">
        <v>245.56</v>
      </c>
      <c r="T492" s="3">
        <v>629</v>
      </c>
      <c r="U492" s="3">
        <v>12</v>
      </c>
      <c r="V492" t="s">
        <v>43</v>
      </c>
    </row>
    <row r="493" spans="1:22" x14ac:dyDescent="0.3">
      <c r="A493" t="s">
        <v>577</v>
      </c>
      <c r="B493" s="1">
        <v>46235</v>
      </c>
      <c r="C493" t="s">
        <v>67</v>
      </c>
      <c r="D493" t="s">
        <v>74</v>
      </c>
      <c r="E493" t="s">
        <v>75</v>
      </c>
      <c r="F493" t="s">
        <v>68</v>
      </c>
      <c r="G493" t="s">
        <v>27</v>
      </c>
      <c r="H493">
        <v>1</v>
      </c>
      <c r="I493" s="3">
        <v>549</v>
      </c>
      <c r="J493" s="4">
        <v>35</v>
      </c>
      <c r="K493" s="3">
        <v>357</v>
      </c>
      <c r="L493" s="3">
        <v>357</v>
      </c>
      <c r="M493" t="s">
        <v>28</v>
      </c>
      <c r="N493" t="s">
        <v>37</v>
      </c>
      <c r="O493" s="3">
        <v>65</v>
      </c>
      <c r="P493" t="s">
        <v>30</v>
      </c>
      <c r="Q493" s="3">
        <v>19.46</v>
      </c>
      <c r="R493" s="3">
        <v>179.36</v>
      </c>
      <c r="S493" s="3">
        <v>93.18</v>
      </c>
      <c r="T493" s="3">
        <v>357</v>
      </c>
      <c r="U493" s="3">
        <v>31</v>
      </c>
      <c r="V493" t="s">
        <v>71</v>
      </c>
    </row>
    <row r="494" spans="1:22" x14ac:dyDescent="0.3">
      <c r="A494" t="s">
        <v>578</v>
      </c>
      <c r="B494" s="1">
        <v>46225</v>
      </c>
      <c r="C494" t="s">
        <v>45</v>
      </c>
      <c r="D494" t="s">
        <v>33</v>
      </c>
      <c r="E494" t="s">
        <v>34</v>
      </c>
      <c r="F494" t="s">
        <v>26</v>
      </c>
      <c r="G494" t="s">
        <v>27</v>
      </c>
      <c r="H494">
        <v>1</v>
      </c>
      <c r="I494" s="3">
        <v>599</v>
      </c>
      <c r="J494" s="4">
        <v>20</v>
      </c>
      <c r="K494" s="3">
        <v>479</v>
      </c>
      <c r="L494" s="3">
        <v>479</v>
      </c>
      <c r="M494" t="s">
        <v>28</v>
      </c>
      <c r="N494" t="s">
        <v>37</v>
      </c>
      <c r="O494" s="3">
        <v>35</v>
      </c>
      <c r="P494" t="s">
        <v>30</v>
      </c>
      <c r="Q494" s="3">
        <v>25.73</v>
      </c>
      <c r="R494" s="3">
        <v>233.94</v>
      </c>
      <c r="S494" s="3">
        <v>184.33</v>
      </c>
      <c r="T494" s="3">
        <v>479</v>
      </c>
      <c r="U494" s="3">
        <v>30</v>
      </c>
      <c r="V494" t="s">
        <v>50</v>
      </c>
    </row>
    <row r="495" spans="1:22" x14ac:dyDescent="0.3">
      <c r="A495" t="s">
        <v>579</v>
      </c>
      <c r="B495" s="1">
        <v>46274</v>
      </c>
      <c r="C495" t="s">
        <v>86</v>
      </c>
      <c r="D495" t="s">
        <v>24</v>
      </c>
      <c r="E495" t="s">
        <v>25</v>
      </c>
      <c r="F495" t="s">
        <v>42</v>
      </c>
      <c r="G495" t="s">
        <v>27</v>
      </c>
      <c r="H495">
        <v>2</v>
      </c>
      <c r="I495" s="3">
        <v>349</v>
      </c>
      <c r="J495" s="4">
        <v>25</v>
      </c>
      <c r="K495" s="3">
        <v>262</v>
      </c>
      <c r="L495" s="3">
        <v>524</v>
      </c>
      <c r="M495" t="s">
        <v>28</v>
      </c>
      <c r="N495" t="s">
        <v>37</v>
      </c>
      <c r="O495" s="3">
        <v>35</v>
      </c>
      <c r="P495" t="s">
        <v>30</v>
      </c>
      <c r="Q495" s="3">
        <v>29.07</v>
      </c>
      <c r="R495" s="3">
        <v>224.3</v>
      </c>
      <c r="S495" s="3">
        <v>235.63</v>
      </c>
      <c r="T495" s="3">
        <v>262</v>
      </c>
      <c r="U495" s="3">
        <v>37</v>
      </c>
      <c r="V495" t="s">
        <v>87</v>
      </c>
    </row>
    <row r="496" spans="1:22" x14ac:dyDescent="0.3">
      <c r="A496" t="s">
        <v>580</v>
      </c>
      <c r="B496" s="1">
        <v>46251</v>
      </c>
      <c r="C496" t="s">
        <v>67</v>
      </c>
      <c r="D496" t="s">
        <v>40</v>
      </c>
      <c r="E496" t="s">
        <v>41</v>
      </c>
      <c r="F496" t="s">
        <v>42</v>
      </c>
      <c r="G496" t="s">
        <v>27</v>
      </c>
      <c r="H496">
        <v>1</v>
      </c>
      <c r="I496" s="3">
        <v>449</v>
      </c>
      <c r="J496" s="4">
        <v>35</v>
      </c>
      <c r="K496" s="3">
        <v>292</v>
      </c>
      <c r="L496" s="3">
        <v>292</v>
      </c>
      <c r="M496" t="s">
        <v>28</v>
      </c>
      <c r="N496" t="s">
        <v>37</v>
      </c>
      <c r="O496" s="3">
        <v>35</v>
      </c>
      <c r="P496" t="s">
        <v>30</v>
      </c>
      <c r="Q496" s="3">
        <v>14.55</v>
      </c>
      <c r="R496" s="3">
        <v>146.36000000000001</v>
      </c>
      <c r="S496" s="3">
        <v>96.09</v>
      </c>
      <c r="T496" s="3">
        <v>292</v>
      </c>
      <c r="U496" s="3">
        <v>34</v>
      </c>
      <c r="V496" t="s">
        <v>71</v>
      </c>
    </row>
    <row r="497" spans="1:22" x14ac:dyDescent="0.3">
      <c r="A497" t="s">
        <v>581</v>
      </c>
      <c r="B497" s="1">
        <v>46186</v>
      </c>
      <c r="C497" t="s">
        <v>78</v>
      </c>
      <c r="D497" t="s">
        <v>93</v>
      </c>
      <c r="E497" t="s">
        <v>47</v>
      </c>
      <c r="F497" t="s">
        <v>100</v>
      </c>
      <c r="G497" t="s">
        <v>101</v>
      </c>
      <c r="H497">
        <v>1</v>
      </c>
      <c r="I497" s="3">
        <v>699</v>
      </c>
      <c r="J497" s="4">
        <v>25</v>
      </c>
      <c r="K497" s="3">
        <v>524</v>
      </c>
      <c r="L497" s="3">
        <v>524</v>
      </c>
      <c r="M497" t="s">
        <v>76</v>
      </c>
      <c r="N497" t="s">
        <v>37</v>
      </c>
      <c r="O497" s="3">
        <v>35</v>
      </c>
      <c r="P497" t="s">
        <v>30</v>
      </c>
      <c r="Q497" s="3">
        <v>32.42</v>
      </c>
      <c r="R497" s="3">
        <v>266.43</v>
      </c>
      <c r="S497" s="3">
        <v>190.15</v>
      </c>
      <c r="T497" s="3">
        <v>524</v>
      </c>
      <c r="U497" s="3">
        <v>24</v>
      </c>
      <c r="V497" t="s">
        <v>81</v>
      </c>
    </row>
    <row r="498" spans="1:22" x14ac:dyDescent="0.3">
      <c r="A498" t="s">
        <v>582</v>
      </c>
      <c r="B498" s="1">
        <v>46249</v>
      </c>
      <c r="C498" t="s">
        <v>67</v>
      </c>
      <c r="D498" t="s">
        <v>93</v>
      </c>
      <c r="E498" t="s">
        <v>47</v>
      </c>
      <c r="F498" t="s">
        <v>26</v>
      </c>
      <c r="G498" t="s">
        <v>27</v>
      </c>
      <c r="H498">
        <v>1</v>
      </c>
      <c r="I498" s="3">
        <v>699</v>
      </c>
      <c r="J498" s="4">
        <v>15</v>
      </c>
      <c r="K498" s="3">
        <v>594</v>
      </c>
      <c r="L498" s="3">
        <v>594</v>
      </c>
      <c r="M498" t="s">
        <v>28</v>
      </c>
      <c r="N498" t="s">
        <v>37</v>
      </c>
      <c r="O498" s="3">
        <v>35</v>
      </c>
      <c r="P498" t="s">
        <v>30</v>
      </c>
      <c r="Q498" s="3">
        <v>32.6</v>
      </c>
      <c r="R498" s="3">
        <v>294.61</v>
      </c>
      <c r="S498" s="3">
        <v>231.79</v>
      </c>
      <c r="T498" s="3">
        <v>594</v>
      </c>
      <c r="U498" s="3">
        <v>33</v>
      </c>
      <c r="V498" t="s">
        <v>71</v>
      </c>
    </row>
    <row r="499" spans="1:22" x14ac:dyDescent="0.3">
      <c r="A499" t="s">
        <v>583</v>
      </c>
      <c r="B499" s="1">
        <v>46169</v>
      </c>
      <c r="C499" t="s">
        <v>62</v>
      </c>
      <c r="D499" t="s">
        <v>46</v>
      </c>
      <c r="E499" t="s">
        <v>47</v>
      </c>
      <c r="F499" t="s">
        <v>35</v>
      </c>
      <c r="G499" t="s">
        <v>36</v>
      </c>
      <c r="H499">
        <v>1</v>
      </c>
      <c r="I499" s="3">
        <v>899</v>
      </c>
      <c r="J499" s="4">
        <v>25</v>
      </c>
      <c r="K499" s="3">
        <v>674</v>
      </c>
      <c r="L499" s="3">
        <v>674</v>
      </c>
      <c r="M499" t="s">
        <v>28</v>
      </c>
      <c r="N499" t="s">
        <v>37</v>
      </c>
      <c r="O499" s="3">
        <v>35</v>
      </c>
      <c r="P499" t="s">
        <v>30</v>
      </c>
      <c r="Q499" s="3">
        <v>33.89</v>
      </c>
      <c r="R499" s="3">
        <v>314.42</v>
      </c>
      <c r="S499" s="3">
        <v>290.69</v>
      </c>
      <c r="T499" s="3">
        <v>674</v>
      </c>
      <c r="U499" s="3">
        <v>22</v>
      </c>
      <c r="V499" t="s">
        <v>65</v>
      </c>
    </row>
    <row r="500" spans="1:22" x14ac:dyDescent="0.3">
      <c r="A500" t="s">
        <v>584</v>
      </c>
      <c r="B500" s="1">
        <v>46042</v>
      </c>
      <c r="C500" t="s">
        <v>52</v>
      </c>
      <c r="D500" t="s">
        <v>74</v>
      </c>
      <c r="E500" t="s">
        <v>75</v>
      </c>
      <c r="F500" t="s">
        <v>68</v>
      </c>
      <c r="G500" t="s">
        <v>27</v>
      </c>
      <c r="H500">
        <v>2</v>
      </c>
      <c r="I500" s="3">
        <v>549</v>
      </c>
      <c r="J500" s="4">
        <v>20</v>
      </c>
      <c r="K500" s="3">
        <v>439</v>
      </c>
      <c r="L500" s="3">
        <v>878</v>
      </c>
      <c r="M500" t="s">
        <v>28</v>
      </c>
      <c r="N500" t="s">
        <v>37</v>
      </c>
      <c r="O500" s="3">
        <v>65</v>
      </c>
      <c r="P500" t="s">
        <v>30</v>
      </c>
      <c r="Q500" s="3">
        <v>57.04</v>
      </c>
      <c r="R500" s="3">
        <v>441.58</v>
      </c>
      <c r="S500" s="3">
        <v>314.38</v>
      </c>
      <c r="T500" s="3">
        <v>439</v>
      </c>
      <c r="U500" s="3">
        <v>4</v>
      </c>
      <c r="V500" t="s">
        <v>57</v>
      </c>
    </row>
    <row r="501" spans="1:22" x14ac:dyDescent="0.3">
      <c r="A501" t="s">
        <v>585</v>
      </c>
      <c r="B501" s="1">
        <v>46069</v>
      </c>
      <c r="C501" t="s">
        <v>95</v>
      </c>
      <c r="D501" t="s">
        <v>93</v>
      </c>
      <c r="E501" t="s">
        <v>47</v>
      </c>
      <c r="F501" t="s">
        <v>68</v>
      </c>
      <c r="G501" t="s">
        <v>27</v>
      </c>
      <c r="H501">
        <v>1</v>
      </c>
      <c r="I501" s="3">
        <v>699</v>
      </c>
      <c r="J501" s="4">
        <v>15</v>
      </c>
      <c r="K501" s="3">
        <v>594</v>
      </c>
      <c r="L501" s="3">
        <v>594</v>
      </c>
      <c r="M501" t="s">
        <v>28</v>
      </c>
      <c r="N501" t="s">
        <v>29</v>
      </c>
      <c r="O501" s="3">
        <v>65</v>
      </c>
      <c r="P501" t="s">
        <v>30</v>
      </c>
      <c r="Q501" s="3">
        <v>31.88</v>
      </c>
      <c r="R501" s="3">
        <v>275.24</v>
      </c>
      <c r="S501" s="3">
        <v>221.88</v>
      </c>
      <c r="T501" s="3">
        <v>594</v>
      </c>
      <c r="U501" s="3">
        <v>8</v>
      </c>
      <c r="V501" t="s">
        <v>96</v>
      </c>
    </row>
    <row r="502" spans="1:22" x14ac:dyDescent="0.3">
      <c r="A502" t="s">
        <v>586</v>
      </c>
      <c r="B502" s="1">
        <v>46255</v>
      </c>
      <c r="C502" t="s">
        <v>67</v>
      </c>
      <c r="D502" t="s">
        <v>74</v>
      </c>
      <c r="E502" t="s">
        <v>75</v>
      </c>
      <c r="F502" t="s">
        <v>79</v>
      </c>
      <c r="G502" t="s">
        <v>80</v>
      </c>
      <c r="H502">
        <v>2</v>
      </c>
      <c r="I502" s="3">
        <v>549</v>
      </c>
      <c r="J502" s="4">
        <v>40</v>
      </c>
      <c r="K502" s="3">
        <v>329</v>
      </c>
      <c r="L502" s="3">
        <v>658</v>
      </c>
      <c r="M502" t="s">
        <v>28</v>
      </c>
      <c r="N502" t="s">
        <v>29</v>
      </c>
      <c r="O502" s="3">
        <v>45</v>
      </c>
      <c r="P502" t="s">
        <v>30</v>
      </c>
      <c r="Q502" s="3">
        <v>40.65</v>
      </c>
      <c r="R502" s="3">
        <v>279.06</v>
      </c>
      <c r="S502" s="3">
        <v>293.29000000000002</v>
      </c>
      <c r="T502" s="3">
        <v>329</v>
      </c>
      <c r="U502" s="3">
        <v>34</v>
      </c>
      <c r="V502" t="s">
        <v>71</v>
      </c>
    </row>
    <row r="503" spans="1:22" x14ac:dyDescent="0.3">
      <c r="A503" t="s">
        <v>587</v>
      </c>
      <c r="B503" s="1">
        <v>46036</v>
      </c>
      <c r="C503" t="s">
        <v>52</v>
      </c>
      <c r="D503" t="s">
        <v>93</v>
      </c>
      <c r="E503" t="s">
        <v>47</v>
      </c>
      <c r="F503" t="s">
        <v>42</v>
      </c>
      <c r="G503" t="s">
        <v>27</v>
      </c>
      <c r="H503">
        <v>1</v>
      </c>
      <c r="I503" s="3">
        <v>699</v>
      </c>
      <c r="J503" s="4">
        <v>10</v>
      </c>
      <c r="K503" s="3">
        <v>629</v>
      </c>
      <c r="L503" s="3">
        <v>629</v>
      </c>
      <c r="M503" t="s">
        <v>28</v>
      </c>
      <c r="N503" t="s">
        <v>29</v>
      </c>
      <c r="O503" s="3">
        <v>65</v>
      </c>
      <c r="P503" t="s">
        <v>30</v>
      </c>
      <c r="Q503" s="3">
        <v>44</v>
      </c>
      <c r="R503" s="3">
        <v>286.63</v>
      </c>
      <c r="S503" s="3">
        <v>233.37</v>
      </c>
      <c r="T503" s="3">
        <v>629</v>
      </c>
      <c r="U503" s="3">
        <v>3</v>
      </c>
      <c r="V503" t="s">
        <v>57</v>
      </c>
    </row>
    <row r="504" spans="1:22" x14ac:dyDescent="0.3">
      <c r="A504" t="s">
        <v>588</v>
      </c>
      <c r="B504" s="1">
        <v>46165</v>
      </c>
      <c r="C504" t="s">
        <v>62</v>
      </c>
      <c r="D504" t="s">
        <v>115</v>
      </c>
      <c r="E504" t="s">
        <v>116</v>
      </c>
      <c r="F504" t="s">
        <v>48</v>
      </c>
      <c r="G504" t="s">
        <v>49</v>
      </c>
      <c r="H504">
        <v>1</v>
      </c>
      <c r="I504" s="3">
        <v>249</v>
      </c>
      <c r="J504" s="4">
        <v>10</v>
      </c>
      <c r="K504" s="3">
        <v>224</v>
      </c>
      <c r="L504" s="3">
        <v>224</v>
      </c>
      <c r="M504" t="s">
        <v>28</v>
      </c>
      <c r="N504" t="s">
        <v>37</v>
      </c>
      <c r="O504" s="3">
        <v>35</v>
      </c>
      <c r="P504" t="s">
        <v>30</v>
      </c>
      <c r="Q504" s="3">
        <v>15.67</v>
      </c>
      <c r="R504" s="3">
        <v>104.89</v>
      </c>
      <c r="S504" s="3">
        <v>68.44</v>
      </c>
      <c r="T504" s="3">
        <v>224</v>
      </c>
      <c r="U504" s="3">
        <v>21</v>
      </c>
      <c r="V504" t="s">
        <v>65</v>
      </c>
    </row>
    <row r="505" spans="1:22" x14ac:dyDescent="0.3">
      <c r="A505" t="s">
        <v>589</v>
      </c>
      <c r="B505" s="1">
        <v>46023</v>
      </c>
      <c r="C505" t="s">
        <v>52</v>
      </c>
      <c r="D505" t="s">
        <v>130</v>
      </c>
      <c r="E505" t="s">
        <v>54</v>
      </c>
      <c r="F505" t="s">
        <v>35</v>
      </c>
      <c r="G505" t="s">
        <v>36</v>
      </c>
      <c r="H505">
        <v>1</v>
      </c>
      <c r="I505" s="3">
        <v>699</v>
      </c>
      <c r="J505" s="4">
        <v>40</v>
      </c>
      <c r="K505" s="3">
        <v>419</v>
      </c>
      <c r="L505" s="3">
        <v>419</v>
      </c>
      <c r="M505" t="s">
        <v>28</v>
      </c>
      <c r="N505" t="s">
        <v>37</v>
      </c>
      <c r="O505" s="3">
        <v>45</v>
      </c>
      <c r="P505" t="s">
        <v>30</v>
      </c>
      <c r="Q505" s="3">
        <v>21.78</v>
      </c>
      <c r="R505" s="3">
        <v>216.29</v>
      </c>
      <c r="S505" s="3">
        <v>135.93</v>
      </c>
      <c r="T505" s="3">
        <v>419</v>
      </c>
      <c r="U505" s="3">
        <v>1</v>
      </c>
      <c r="V505" t="s">
        <v>57</v>
      </c>
    </row>
    <row r="506" spans="1:22" x14ac:dyDescent="0.3">
      <c r="A506" t="s">
        <v>590</v>
      </c>
      <c r="B506" s="1">
        <v>46076</v>
      </c>
      <c r="C506" t="s">
        <v>95</v>
      </c>
      <c r="D506" t="s">
        <v>40</v>
      </c>
      <c r="E506" t="s">
        <v>41</v>
      </c>
      <c r="F506" t="s">
        <v>26</v>
      </c>
      <c r="G506" t="s">
        <v>27</v>
      </c>
      <c r="H506">
        <v>1</v>
      </c>
      <c r="I506" s="3">
        <v>449</v>
      </c>
      <c r="J506" s="4">
        <v>20</v>
      </c>
      <c r="K506" s="3">
        <v>359</v>
      </c>
      <c r="L506" s="3">
        <v>359</v>
      </c>
      <c r="M506" t="s">
        <v>28</v>
      </c>
      <c r="N506" t="s">
        <v>37</v>
      </c>
      <c r="O506" s="3">
        <v>65</v>
      </c>
      <c r="P506" t="s">
        <v>30</v>
      </c>
      <c r="Q506" s="3">
        <v>14.92</v>
      </c>
      <c r="R506" s="3">
        <v>185.86</v>
      </c>
      <c r="S506" s="3">
        <v>93.22</v>
      </c>
      <c r="T506" s="3">
        <v>359</v>
      </c>
      <c r="U506" s="3">
        <v>9</v>
      </c>
      <c r="V506" t="s">
        <v>96</v>
      </c>
    </row>
    <row r="507" spans="1:22" x14ac:dyDescent="0.3">
      <c r="A507" t="s">
        <v>591</v>
      </c>
      <c r="B507" s="1">
        <v>46281</v>
      </c>
      <c r="C507" t="s">
        <v>86</v>
      </c>
      <c r="D507" t="s">
        <v>115</v>
      </c>
      <c r="E507" t="s">
        <v>116</v>
      </c>
      <c r="F507" t="s">
        <v>42</v>
      </c>
      <c r="G507" t="s">
        <v>27</v>
      </c>
      <c r="H507">
        <v>2</v>
      </c>
      <c r="I507" s="3">
        <v>249</v>
      </c>
      <c r="J507" s="4">
        <v>20</v>
      </c>
      <c r="K507" s="3">
        <v>199</v>
      </c>
      <c r="L507" s="3">
        <v>398</v>
      </c>
      <c r="M507" t="s">
        <v>28</v>
      </c>
      <c r="N507" t="s">
        <v>29</v>
      </c>
      <c r="O507" s="3">
        <v>55</v>
      </c>
      <c r="P507" t="s">
        <v>30</v>
      </c>
      <c r="Q507" s="3">
        <v>30.86</v>
      </c>
      <c r="R507" s="3">
        <v>186.76</v>
      </c>
      <c r="S507" s="3">
        <v>125.38</v>
      </c>
      <c r="T507" s="3">
        <v>199</v>
      </c>
      <c r="U507" s="3">
        <v>38</v>
      </c>
      <c r="V507" t="s">
        <v>87</v>
      </c>
    </row>
    <row r="508" spans="1:22" x14ac:dyDescent="0.3">
      <c r="A508" t="s">
        <v>592</v>
      </c>
      <c r="B508" s="1">
        <v>46166</v>
      </c>
      <c r="C508" t="s">
        <v>62</v>
      </c>
      <c r="D508" t="s">
        <v>130</v>
      </c>
      <c r="E508" t="s">
        <v>54</v>
      </c>
      <c r="F508" t="s">
        <v>84</v>
      </c>
      <c r="G508" t="s">
        <v>84</v>
      </c>
      <c r="H508">
        <v>1</v>
      </c>
      <c r="I508" s="3">
        <v>699</v>
      </c>
      <c r="J508" s="4">
        <v>25</v>
      </c>
      <c r="K508" s="3">
        <v>524</v>
      </c>
      <c r="L508" s="3">
        <v>524</v>
      </c>
      <c r="M508" t="s">
        <v>28</v>
      </c>
      <c r="N508" t="s">
        <v>29</v>
      </c>
      <c r="O508" s="3">
        <v>65</v>
      </c>
      <c r="P508" t="s">
        <v>30</v>
      </c>
      <c r="Q508" s="3">
        <v>24.7</v>
      </c>
      <c r="R508" s="3">
        <v>225.75</v>
      </c>
      <c r="S508" s="3">
        <v>208.55</v>
      </c>
      <c r="T508" s="3">
        <v>524</v>
      </c>
      <c r="U508" s="3">
        <v>21</v>
      </c>
      <c r="V508" t="s">
        <v>65</v>
      </c>
    </row>
    <row r="509" spans="1:22" x14ac:dyDescent="0.3">
      <c r="A509" t="s">
        <v>593</v>
      </c>
      <c r="B509" s="1">
        <v>46034</v>
      </c>
      <c r="C509" t="s">
        <v>52</v>
      </c>
      <c r="D509" t="s">
        <v>112</v>
      </c>
      <c r="E509" t="s">
        <v>47</v>
      </c>
      <c r="F509" t="s">
        <v>100</v>
      </c>
      <c r="G509" t="s">
        <v>101</v>
      </c>
      <c r="H509">
        <v>1</v>
      </c>
      <c r="I509" s="3">
        <v>299</v>
      </c>
      <c r="J509" s="4">
        <v>20</v>
      </c>
      <c r="K509" s="3">
        <v>239</v>
      </c>
      <c r="L509" s="3">
        <v>239</v>
      </c>
      <c r="M509" t="s">
        <v>64</v>
      </c>
      <c r="N509" t="s">
        <v>37</v>
      </c>
      <c r="O509" s="3">
        <v>45</v>
      </c>
      <c r="P509" t="s">
        <v>30</v>
      </c>
      <c r="Q509" s="3">
        <v>11.54</v>
      </c>
      <c r="R509" s="3">
        <v>120.73</v>
      </c>
      <c r="S509" s="3">
        <v>61.73</v>
      </c>
      <c r="T509" s="3">
        <v>239</v>
      </c>
      <c r="U509" s="3">
        <v>3</v>
      </c>
      <c r="V509" t="s">
        <v>57</v>
      </c>
    </row>
    <row r="510" spans="1:22" x14ac:dyDescent="0.3">
      <c r="A510" t="s">
        <v>594</v>
      </c>
      <c r="B510" s="1">
        <v>46246</v>
      </c>
      <c r="C510" t="s">
        <v>67</v>
      </c>
      <c r="D510" t="s">
        <v>115</v>
      </c>
      <c r="E510" t="s">
        <v>116</v>
      </c>
      <c r="F510" t="s">
        <v>100</v>
      </c>
      <c r="G510" t="s">
        <v>101</v>
      </c>
      <c r="H510">
        <v>1</v>
      </c>
      <c r="I510" s="3">
        <v>249</v>
      </c>
      <c r="J510" s="4">
        <v>20</v>
      </c>
      <c r="K510" s="3">
        <v>199</v>
      </c>
      <c r="L510" s="3">
        <v>199</v>
      </c>
      <c r="M510" t="s">
        <v>28</v>
      </c>
      <c r="N510" t="s">
        <v>37</v>
      </c>
      <c r="O510" s="3">
        <v>55</v>
      </c>
      <c r="P510" t="s">
        <v>30</v>
      </c>
      <c r="Q510" s="3">
        <v>14.24</v>
      </c>
      <c r="R510" s="3">
        <v>85.95</v>
      </c>
      <c r="S510" s="3">
        <v>43.81</v>
      </c>
      <c r="T510" s="3">
        <v>199</v>
      </c>
      <c r="U510" s="3">
        <v>33</v>
      </c>
      <c r="V510" t="s">
        <v>71</v>
      </c>
    </row>
    <row r="511" spans="1:22" x14ac:dyDescent="0.3">
      <c r="A511" t="s">
        <v>595</v>
      </c>
      <c r="B511" s="1">
        <v>46178</v>
      </c>
      <c r="C511" t="s">
        <v>78</v>
      </c>
      <c r="D511" t="s">
        <v>112</v>
      </c>
      <c r="E511" t="s">
        <v>47</v>
      </c>
      <c r="F511" t="s">
        <v>42</v>
      </c>
      <c r="G511" t="s">
        <v>27</v>
      </c>
      <c r="H511">
        <v>1</v>
      </c>
      <c r="I511" s="3">
        <v>299</v>
      </c>
      <c r="J511" s="4">
        <v>30</v>
      </c>
      <c r="K511" s="3">
        <v>209</v>
      </c>
      <c r="L511" s="3">
        <v>209</v>
      </c>
      <c r="M511" t="s">
        <v>64</v>
      </c>
      <c r="N511" t="s">
        <v>37</v>
      </c>
      <c r="O511" s="3">
        <v>45</v>
      </c>
      <c r="P511" t="s">
        <v>30</v>
      </c>
      <c r="Q511" s="3">
        <v>15.53</v>
      </c>
      <c r="R511" s="3">
        <v>101.72</v>
      </c>
      <c r="S511" s="3">
        <v>46.75</v>
      </c>
      <c r="T511" s="3">
        <v>209</v>
      </c>
      <c r="U511" s="3">
        <v>23</v>
      </c>
      <c r="V511" t="s">
        <v>81</v>
      </c>
    </row>
    <row r="512" spans="1:22" x14ac:dyDescent="0.3">
      <c r="A512" t="s">
        <v>596</v>
      </c>
      <c r="B512" s="1">
        <v>46030</v>
      </c>
      <c r="C512" t="s">
        <v>52</v>
      </c>
      <c r="D512" t="s">
        <v>115</v>
      </c>
      <c r="E512" t="s">
        <v>116</v>
      </c>
      <c r="F512" t="s">
        <v>68</v>
      </c>
      <c r="G512" t="s">
        <v>27</v>
      </c>
      <c r="H512">
        <v>2</v>
      </c>
      <c r="I512" s="3">
        <v>249</v>
      </c>
      <c r="J512" s="4">
        <v>20</v>
      </c>
      <c r="K512" s="3">
        <v>199</v>
      </c>
      <c r="L512" s="3">
        <v>398</v>
      </c>
      <c r="M512" t="s">
        <v>28</v>
      </c>
      <c r="N512" t="s">
        <v>29</v>
      </c>
      <c r="O512" s="3">
        <v>35</v>
      </c>
      <c r="P512" t="s">
        <v>30</v>
      </c>
      <c r="Q512" s="3">
        <v>29</v>
      </c>
      <c r="R512" s="3">
        <v>171.19</v>
      </c>
      <c r="S512" s="3">
        <v>162.81</v>
      </c>
      <c r="T512" s="3">
        <v>199</v>
      </c>
      <c r="U512" s="3">
        <v>2</v>
      </c>
      <c r="V512" t="s">
        <v>57</v>
      </c>
    </row>
    <row r="513" spans="1:22" x14ac:dyDescent="0.3">
      <c r="A513" t="s">
        <v>597</v>
      </c>
      <c r="B513" s="1">
        <v>46144</v>
      </c>
      <c r="C513" t="s">
        <v>62</v>
      </c>
      <c r="D513" t="s">
        <v>74</v>
      </c>
      <c r="E513" t="s">
        <v>75</v>
      </c>
      <c r="F513" t="s">
        <v>42</v>
      </c>
      <c r="G513" t="s">
        <v>27</v>
      </c>
      <c r="H513">
        <v>1</v>
      </c>
      <c r="I513" s="3">
        <v>549</v>
      </c>
      <c r="J513" s="4">
        <v>25</v>
      </c>
      <c r="K513" s="3">
        <v>412</v>
      </c>
      <c r="L513" s="3">
        <v>412</v>
      </c>
      <c r="M513" t="s">
        <v>28</v>
      </c>
      <c r="N513" t="s">
        <v>29</v>
      </c>
      <c r="O513" s="3">
        <v>45</v>
      </c>
      <c r="P513" t="s">
        <v>30</v>
      </c>
      <c r="Q513" s="3">
        <v>28.21</v>
      </c>
      <c r="R513" s="3">
        <v>210.05</v>
      </c>
      <c r="S513" s="3">
        <v>128.74</v>
      </c>
      <c r="T513" s="3">
        <v>412</v>
      </c>
      <c r="U513" s="3">
        <v>18</v>
      </c>
      <c r="V513" t="s">
        <v>65</v>
      </c>
    </row>
    <row r="514" spans="1:22" x14ac:dyDescent="0.3">
      <c r="A514" t="s">
        <v>598</v>
      </c>
      <c r="B514" s="1">
        <v>46186</v>
      </c>
      <c r="C514" t="s">
        <v>78</v>
      </c>
      <c r="D514" t="s">
        <v>74</v>
      </c>
      <c r="E514" t="s">
        <v>75</v>
      </c>
      <c r="F514" t="s">
        <v>26</v>
      </c>
      <c r="G514" t="s">
        <v>27</v>
      </c>
      <c r="H514">
        <v>1</v>
      </c>
      <c r="I514" s="3">
        <v>549</v>
      </c>
      <c r="J514" s="4">
        <v>25</v>
      </c>
      <c r="K514" s="3">
        <v>412</v>
      </c>
      <c r="L514" s="3">
        <v>412</v>
      </c>
      <c r="M514" t="s">
        <v>28</v>
      </c>
      <c r="N514" t="s">
        <v>29</v>
      </c>
      <c r="O514" s="3">
        <v>35</v>
      </c>
      <c r="P514" t="s">
        <v>30</v>
      </c>
      <c r="Q514" s="3">
        <v>27.47</v>
      </c>
      <c r="R514" s="3">
        <v>198.72</v>
      </c>
      <c r="S514" s="3">
        <v>150.81</v>
      </c>
      <c r="T514" s="3">
        <v>412</v>
      </c>
      <c r="U514" s="3">
        <v>24</v>
      </c>
      <c r="V514" t="s">
        <v>81</v>
      </c>
    </row>
    <row r="515" spans="1:22" x14ac:dyDescent="0.3">
      <c r="A515" t="s">
        <v>599</v>
      </c>
      <c r="B515" s="1">
        <v>46112</v>
      </c>
      <c r="C515" t="s">
        <v>39</v>
      </c>
      <c r="D515" t="s">
        <v>53</v>
      </c>
      <c r="E515" t="s">
        <v>54</v>
      </c>
      <c r="F515" t="s">
        <v>26</v>
      </c>
      <c r="G515" t="s">
        <v>27</v>
      </c>
      <c r="H515">
        <v>1</v>
      </c>
      <c r="I515" s="3">
        <v>499</v>
      </c>
      <c r="J515" s="4">
        <v>15</v>
      </c>
      <c r="K515" s="3">
        <v>424</v>
      </c>
      <c r="L515" s="3">
        <v>424</v>
      </c>
      <c r="M515" t="s">
        <v>28</v>
      </c>
      <c r="N515" t="s">
        <v>29</v>
      </c>
      <c r="O515" s="3">
        <v>45</v>
      </c>
      <c r="P515" t="s">
        <v>30</v>
      </c>
      <c r="Q515" s="3">
        <v>30.75</v>
      </c>
      <c r="R515" s="3">
        <v>189</v>
      </c>
      <c r="S515" s="3">
        <v>159.25</v>
      </c>
      <c r="T515" s="3">
        <v>424</v>
      </c>
      <c r="U515" s="3">
        <v>14</v>
      </c>
      <c r="V515" t="s">
        <v>43</v>
      </c>
    </row>
    <row r="516" spans="1:22" x14ac:dyDescent="0.3">
      <c r="A516" t="s">
        <v>600</v>
      </c>
      <c r="B516" s="1">
        <v>46158</v>
      </c>
      <c r="C516" t="s">
        <v>62</v>
      </c>
      <c r="D516" t="s">
        <v>24</v>
      </c>
      <c r="E516" t="s">
        <v>25</v>
      </c>
      <c r="F516" t="s">
        <v>109</v>
      </c>
      <c r="G516" t="s">
        <v>110</v>
      </c>
      <c r="H516">
        <v>2</v>
      </c>
      <c r="I516" s="3">
        <v>349</v>
      </c>
      <c r="J516" s="4">
        <v>30</v>
      </c>
      <c r="K516" s="3">
        <v>244</v>
      </c>
      <c r="L516" s="3">
        <v>488</v>
      </c>
      <c r="M516" t="s">
        <v>28</v>
      </c>
      <c r="N516" t="s">
        <v>37</v>
      </c>
      <c r="O516" s="3">
        <v>45</v>
      </c>
      <c r="P516" t="s">
        <v>30</v>
      </c>
      <c r="Q516" s="3">
        <v>37.729999999999997</v>
      </c>
      <c r="R516" s="3">
        <v>249.99</v>
      </c>
      <c r="S516" s="3">
        <v>155.28</v>
      </c>
      <c r="T516" s="3">
        <v>244</v>
      </c>
      <c r="U516" s="3">
        <v>20</v>
      </c>
      <c r="V516" t="s">
        <v>65</v>
      </c>
    </row>
    <row r="517" spans="1:22" x14ac:dyDescent="0.3">
      <c r="A517" t="s">
        <v>601</v>
      </c>
      <c r="B517" s="1">
        <v>46208</v>
      </c>
      <c r="C517" t="s">
        <v>45</v>
      </c>
      <c r="D517" t="s">
        <v>93</v>
      </c>
      <c r="E517" t="s">
        <v>47</v>
      </c>
      <c r="F517" t="s">
        <v>68</v>
      </c>
      <c r="G517" t="s">
        <v>27</v>
      </c>
      <c r="H517">
        <v>1</v>
      </c>
      <c r="I517" s="3">
        <v>699</v>
      </c>
      <c r="J517" s="4">
        <v>5</v>
      </c>
      <c r="K517" s="3">
        <v>664</v>
      </c>
      <c r="L517" s="3">
        <v>664</v>
      </c>
      <c r="M517" t="s">
        <v>28</v>
      </c>
      <c r="N517" t="s">
        <v>37</v>
      </c>
      <c r="O517" s="3">
        <v>65</v>
      </c>
      <c r="P517" t="s">
        <v>30</v>
      </c>
      <c r="Q517" s="3">
        <v>49.19</v>
      </c>
      <c r="R517" s="3">
        <v>281.60000000000002</v>
      </c>
      <c r="S517" s="3">
        <v>268.20999999999998</v>
      </c>
      <c r="T517" s="3">
        <v>664</v>
      </c>
      <c r="U517" s="3">
        <v>27</v>
      </c>
      <c r="V517" t="s">
        <v>50</v>
      </c>
    </row>
    <row r="518" spans="1:22" x14ac:dyDescent="0.3">
      <c r="A518" t="s">
        <v>602</v>
      </c>
      <c r="B518" s="1">
        <v>46200</v>
      </c>
      <c r="C518" t="s">
        <v>78</v>
      </c>
      <c r="D518" t="s">
        <v>74</v>
      </c>
      <c r="E518" t="s">
        <v>75</v>
      </c>
      <c r="F518" t="s">
        <v>26</v>
      </c>
      <c r="G518" t="s">
        <v>27</v>
      </c>
      <c r="H518">
        <v>1</v>
      </c>
      <c r="I518" s="3">
        <v>549</v>
      </c>
      <c r="J518" s="4">
        <v>15</v>
      </c>
      <c r="K518" s="3">
        <v>467</v>
      </c>
      <c r="L518" s="3">
        <v>467</v>
      </c>
      <c r="M518" t="s">
        <v>76</v>
      </c>
      <c r="N518" t="s">
        <v>37</v>
      </c>
      <c r="O518" s="3">
        <v>35</v>
      </c>
      <c r="P518" t="s">
        <v>30</v>
      </c>
      <c r="Q518" s="3">
        <v>28.36</v>
      </c>
      <c r="R518" s="3">
        <v>224.82</v>
      </c>
      <c r="S518" s="3">
        <v>178.82</v>
      </c>
      <c r="T518" s="3">
        <v>467</v>
      </c>
      <c r="U518" s="3">
        <v>26</v>
      </c>
      <c r="V518" t="s">
        <v>81</v>
      </c>
    </row>
    <row r="519" spans="1:22" x14ac:dyDescent="0.3">
      <c r="A519" t="s">
        <v>603</v>
      </c>
      <c r="B519" s="1">
        <v>46050</v>
      </c>
      <c r="C519" t="s">
        <v>52</v>
      </c>
      <c r="D519" t="s">
        <v>40</v>
      </c>
      <c r="E519" t="s">
        <v>41</v>
      </c>
      <c r="F519" t="s">
        <v>42</v>
      </c>
      <c r="G519" t="s">
        <v>27</v>
      </c>
      <c r="H519">
        <v>1</v>
      </c>
      <c r="I519" s="3">
        <v>449</v>
      </c>
      <c r="J519" s="4">
        <v>10</v>
      </c>
      <c r="K519" s="3">
        <v>404</v>
      </c>
      <c r="L519" s="3">
        <v>404</v>
      </c>
      <c r="M519" t="s">
        <v>28</v>
      </c>
      <c r="N519" t="s">
        <v>37</v>
      </c>
      <c r="O519" s="3">
        <v>65</v>
      </c>
      <c r="P519" t="s">
        <v>30</v>
      </c>
      <c r="Q519" s="3">
        <v>29.83</v>
      </c>
      <c r="R519" s="3">
        <v>174.3</v>
      </c>
      <c r="S519" s="3">
        <v>134.87</v>
      </c>
      <c r="T519" s="3">
        <v>404</v>
      </c>
      <c r="U519" s="3">
        <v>5</v>
      </c>
      <c r="V519" t="s">
        <v>57</v>
      </c>
    </row>
    <row r="520" spans="1:22" x14ac:dyDescent="0.3">
      <c r="A520" t="s">
        <v>604</v>
      </c>
      <c r="B520" s="1">
        <v>46242</v>
      </c>
      <c r="C520" t="s">
        <v>67</v>
      </c>
      <c r="D520" t="s">
        <v>53</v>
      </c>
      <c r="E520" t="s">
        <v>54</v>
      </c>
      <c r="F520" t="s">
        <v>35</v>
      </c>
      <c r="G520" t="s">
        <v>36</v>
      </c>
      <c r="H520">
        <v>1</v>
      </c>
      <c r="I520" s="3">
        <v>499</v>
      </c>
      <c r="J520" s="4">
        <v>40</v>
      </c>
      <c r="K520" s="3">
        <v>299</v>
      </c>
      <c r="L520" s="3">
        <v>299</v>
      </c>
      <c r="M520" t="s">
        <v>28</v>
      </c>
      <c r="N520" t="s">
        <v>29</v>
      </c>
      <c r="O520" s="3">
        <v>55</v>
      </c>
      <c r="P520" t="s">
        <v>30</v>
      </c>
      <c r="Q520" s="3">
        <v>12.4</v>
      </c>
      <c r="R520" s="3">
        <v>127.16</v>
      </c>
      <c r="S520" s="3">
        <v>104.44</v>
      </c>
      <c r="T520" s="3">
        <v>299</v>
      </c>
      <c r="U520" s="3">
        <v>32</v>
      </c>
      <c r="V520" t="s">
        <v>71</v>
      </c>
    </row>
    <row r="521" spans="1:22" x14ac:dyDescent="0.3">
      <c r="A521" t="s">
        <v>605</v>
      </c>
      <c r="B521" s="1">
        <v>46063</v>
      </c>
      <c r="C521" t="s">
        <v>95</v>
      </c>
      <c r="D521" t="s">
        <v>115</v>
      </c>
      <c r="E521" t="s">
        <v>116</v>
      </c>
      <c r="F521" t="s">
        <v>79</v>
      </c>
      <c r="G521" t="s">
        <v>80</v>
      </c>
      <c r="H521">
        <v>2</v>
      </c>
      <c r="I521" s="3">
        <v>249</v>
      </c>
      <c r="J521" s="4">
        <v>15</v>
      </c>
      <c r="K521" s="3">
        <v>212</v>
      </c>
      <c r="L521" s="3">
        <v>424</v>
      </c>
      <c r="M521" t="s">
        <v>28</v>
      </c>
      <c r="N521" t="s">
        <v>37</v>
      </c>
      <c r="O521" s="3">
        <v>35</v>
      </c>
      <c r="P521" t="s">
        <v>30</v>
      </c>
      <c r="Q521" s="3">
        <v>17.64</v>
      </c>
      <c r="R521" s="3">
        <v>197.12</v>
      </c>
      <c r="S521" s="3">
        <v>174.24</v>
      </c>
      <c r="T521" s="3">
        <v>212</v>
      </c>
      <c r="U521" s="3">
        <v>7</v>
      </c>
      <c r="V521" t="s">
        <v>96</v>
      </c>
    </row>
    <row r="522" spans="1:22" x14ac:dyDescent="0.3">
      <c r="A522" t="s">
        <v>606</v>
      </c>
      <c r="B522" s="1">
        <v>46250</v>
      </c>
      <c r="C522" t="s">
        <v>67</v>
      </c>
      <c r="D522" t="s">
        <v>112</v>
      </c>
      <c r="E522" t="s">
        <v>47</v>
      </c>
      <c r="F522" t="s">
        <v>26</v>
      </c>
      <c r="G522" t="s">
        <v>27</v>
      </c>
      <c r="H522">
        <v>1</v>
      </c>
      <c r="I522" s="3">
        <v>299</v>
      </c>
      <c r="J522" s="4">
        <v>15</v>
      </c>
      <c r="K522" s="3">
        <v>254</v>
      </c>
      <c r="L522" s="3">
        <v>254</v>
      </c>
      <c r="M522" t="s">
        <v>28</v>
      </c>
      <c r="N522" t="s">
        <v>29</v>
      </c>
      <c r="O522" s="3">
        <v>65</v>
      </c>
      <c r="P522" t="s">
        <v>30</v>
      </c>
      <c r="Q522" s="3">
        <v>12.51</v>
      </c>
      <c r="R522" s="3">
        <v>116.95</v>
      </c>
      <c r="S522" s="3">
        <v>59.54</v>
      </c>
      <c r="T522" s="3">
        <v>254</v>
      </c>
      <c r="U522" s="3">
        <v>33</v>
      </c>
      <c r="V522" t="s">
        <v>71</v>
      </c>
    </row>
    <row r="523" spans="1:22" x14ac:dyDescent="0.3">
      <c r="A523" t="s">
        <v>607</v>
      </c>
      <c r="B523" s="1">
        <v>46214</v>
      </c>
      <c r="C523" t="s">
        <v>45</v>
      </c>
      <c r="D523" t="s">
        <v>46</v>
      </c>
      <c r="E523" t="s">
        <v>47</v>
      </c>
      <c r="F523" t="s">
        <v>68</v>
      </c>
      <c r="G523" t="s">
        <v>27</v>
      </c>
      <c r="H523">
        <v>1</v>
      </c>
      <c r="I523" s="3">
        <v>899</v>
      </c>
      <c r="J523" s="4">
        <v>20</v>
      </c>
      <c r="K523" s="3">
        <v>719</v>
      </c>
      <c r="L523" s="3">
        <v>719</v>
      </c>
      <c r="M523" t="s">
        <v>28</v>
      </c>
      <c r="N523" t="s">
        <v>37</v>
      </c>
      <c r="O523" s="3">
        <v>35</v>
      </c>
      <c r="P523" t="s">
        <v>30</v>
      </c>
      <c r="Q523" s="3">
        <v>36.96</v>
      </c>
      <c r="R523" s="3">
        <v>347.33</v>
      </c>
      <c r="S523" s="3">
        <v>299.70999999999998</v>
      </c>
      <c r="T523" s="3">
        <v>719</v>
      </c>
      <c r="U523" s="3">
        <v>28</v>
      </c>
      <c r="V523" t="s">
        <v>50</v>
      </c>
    </row>
    <row r="524" spans="1:22" x14ac:dyDescent="0.3">
      <c r="A524" t="s">
        <v>608</v>
      </c>
      <c r="B524" s="1">
        <v>46167</v>
      </c>
      <c r="C524" t="s">
        <v>62</v>
      </c>
      <c r="D524" t="s">
        <v>74</v>
      </c>
      <c r="E524" t="s">
        <v>75</v>
      </c>
      <c r="F524" t="s">
        <v>68</v>
      </c>
      <c r="G524" t="s">
        <v>27</v>
      </c>
      <c r="H524">
        <v>2</v>
      </c>
      <c r="I524" s="3">
        <v>549</v>
      </c>
      <c r="J524" s="4">
        <v>15</v>
      </c>
      <c r="K524" s="3">
        <v>467</v>
      </c>
      <c r="L524" s="3">
        <v>934</v>
      </c>
      <c r="M524" t="s">
        <v>28</v>
      </c>
      <c r="N524" t="s">
        <v>37</v>
      </c>
      <c r="O524" s="3">
        <v>65</v>
      </c>
      <c r="P524" t="s">
        <v>30</v>
      </c>
      <c r="Q524" s="3">
        <v>53.02</v>
      </c>
      <c r="R524" s="3">
        <v>402.86</v>
      </c>
      <c r="S524" s="3">
        <v>413.12</v>
      </c>
      <c r="T524" s="3">
        <v>467</v>
      </c>
      <c r="U524" s="3">
        <v>22</v>
      </c>
      <c r="V524" t="s">
        <v>65</v>
      </c>
    </row>
    <row r="525" spans="1:22" x14ac:dyDescent="0.3">
      <c r="A525" t="s">
        <v>609</v>
      </c>
      <c r="B525" s="1">
        <v>46223</v>
      </c>
      <c r="C525" t="s">
        <v>45</v>
      </c>
      <c r="D525" t="s">
        <v>63</v>
      </c>
      <c r="E525" t="s">
        <v>47</v>
      </c>
      <c r="F525" t="s">
        <v>68</v>
      </c>
      <c r="G525" t="s">
        <v>27</v>
      </c>
      <c r="H525">
        <v>1</v>
      </c>
      <c r="I525" s="3">
        <v>399</v>
      </c>
      <c r="J525" s="4">
        <v>15</v>
      </c>
      <c r="K525" s="3">
        <v>339</v>
      </c>
      <c r="L525" s="3">
        <v>339</v>
      </c>
      <c r="M525" t="s">
        <v>28</v>
      </c>
      <c r="N525" t="s">
        <v>29</v>
      </c>
      <c r="O525" s="3">
        <v>45</v>
      </c>
      <c r="P525" t="s">
        <v>30</v>
      </c>
      <c r="Q525" s="3">
        <v>20.55</v>
      </c>
      <c r="R525" s="3">
        <v>145.85</v>
      </c>
      <c r="S525" s="3">
        <v>127.6</v>
      </c>
      <c r="T525" s="3">
        <v>339</v>
      </c>
      <c r="U525" s="3">
        <v>30</v>
      </c>
      <c r="V525" t="s">
        <v>50</v>
      </c>
    </row>
    <row r="526" spans="1:22" x14ac:dyDescent="0.3">
      <c r="A526" t="s">
        <v>610</v>
      </c>
      <c r="B526" s="1">
        <v>46234</v>
      </c>
      <c r="C526" t="s">
        <v>45</v>
      </c>
      <c r="D526" t="s">
        <v>46</v>
      </c>
      <c r="E526" t="s">
        <v>47</v>
      </c>
      <c r="F526" t="s">
        <v>26</v>
      </c>
      <c r="G526" t="s">
        <v>27</v>
      </c>
      <c r="H526">
        <v>1</v>
      </c>
      <c r="I526" s="3">
        <v>899</v>
      </c>
      <c r="J526" s="4">
        <v>25</v>
      </c>
      <c r="K526" s="3">
        <v>674</v>
      </c>
      <c r="L526" s="3">
        <v>674</v>
      </c>
      <c r="M526" t="s">
        <v>28</v>
      </c>
      <c r="N526" t="s">
        <v>37</v>
      </c>
      <c r="O526" s="3">
        <v>35</v>
      </c>
      <c r="P526" t="s">
        <v>30</v>
      </c>
      <c r="Q526" s="3">
        <v>37.58</v>
      </c>
      <c r="R526" s="3">
        <v>340.43</v>
      </c>
      <c r="S526" s="3">
        <v>260.99</v>
      </c>
      <c r="T526" s="3">
        <v>674</v>
      </c>
      <c r="U526" s="3">
        <v>31</v>
      </c>
      <c r="V526" t="s">
        <v>50</v>
      </c>
    </row>
    <row r="527" spans="1:22" x14ac:dyDescent="0.3">
      <c r="A527" t="s">
        <v>611</v>
      </c>
      <c r="B527" s="1">
        <v>46242</v>
      </c>
      <c r="C527" t="s">
        <v>67</v>
      </c>
      <c r="D527" t="s">
        <v>115</v>
      </c>
      <c r="E527" t="s">
        <v>116</v>
      </c>
      <c r="F527" t="s">
        <v>79</v>
      </c>
      <c r="G527" t="s">
        <v>80</v>
      </c>
      <c r="H527">
        <v>2</v>
      </c>
      <c r="I527" s="3">
        <v>249</v>
      </c>
      <c r="J527" s="4">
        <v>30</v>
      </c>
      <c r="K527" s="3">
        <v>174</v>
      </c>
      <c r="L527" s="3">
        <v>348</v>
      </c>
      <c r="M527" t="s">
        <v>28</v>
      </c>
      <c r="N527" t="s">
        <v>29</v>
      </c>
      <c r="O527" s="3">
        <v>35</v>
      </c>
      <c r="P527" t="s">
        <v>30</v>
      </c>
      <c r="Q527" s="3">
        <v>22.95</v>
      </c>
      <c r="R527" s="3">
        <v>177.45</v>
      </c>
      <c r="S527" s="3">
        <v>112.6</v>
      </c>
      <c r="T527" s="3">
        <v>174</v>
      </c>
      <c r="U527" s="3">
        <v>32</v>
      </c>
      <c r="V527" t="s">
        <v>71</v>
      </c>
    </row>
    <row r="528" spans="1:22" x14ac:dyDescent="0.3">
      <c r="A528" t="s">
        <v>612</v>
      </c>
      <c r="B528" s="1">
        <v>46262</v>
      </c>
      <c r="C528" t="s">
        <v>67</v>
      </c>
      <c r="D528" t="s">
        <v>63</v>
      </c>
      <c r="E528" t="s">
        <v>47</v>
      </c>
      <c r="F528" t="s">
        <v>26</v>
      </c>
      <c r="G528" t="s">
        <v>27</v>
      </c>
      <c r="H528">
        <v>2</v>
      </c>
      <c r="I528" s="3">
        <v>399</v>
      </c>
      <c r="J528" s="4">
        <v>20</v>
      </c>
      <c r="K528" s="3">
        <v>319</v>
      </c>
      <c r="L528" s="3">
        <v>638</v>
      </c>
      <c r="M528" t="s">
        <v>76</v>
      </c>
      <c r="N528" t="s">
        <v>37</v>
      </c>
      <c r="O528" s="3">
        <v>65</v>
      </c>
      <c r="P528" t="s">
        <v>30</v>
      </c>
      <c r="Q528" s="3">
        <v>42.78</v>
      </c>
      <c r="R528" s="3">
        <v>287.16000000000003</v>
      </c>
      <c r="S528" s="3">
        <v>243.06</v>
      </c>
      <c r="T528" s="3">
        <v>319</v>
      </c>
      <c r="U528" s="3">
        <v>35</v>
      </c>
      <c r="V528" t="s">
        <v>71</v>
      </c>
    </row>
    <row r="529" spans="1:22" x14ac:dyDescent="0.3">
      <c r="A529" t="s">
        <v>613</v>
      </c>
      <c r="B529" s="1">
        <v>46068</v>
      </c>
      <c r="C529" t="s">
        <v>95</v>
      </c>
      <c r="D529" t="s">
        <v>63</v>
      </c>
      <c r="E529" t="s">
        <v>47</v>
      </c>
      <c r="F529" t="s">
        <v>109</v>
      </c>
      <c r="G529" t="s">
        <v>110</v>
      </c>
      <c r="H529">
        <v>1</v>
      </c>
      <c r="I529" s="3">
        <v>399</v>
      </c>
      <c r="J529" s="4">
        <v>15</v>
      </c>
      <c r="K529" s="3">
        <v>339</v>
      </c>
      <c r="L529" s="3">
        <v>339</v>
      </c>
      <c r="M529" t="s">
        <v>28</v>
      </c>
      <c r="N529" t="s">
        <v>37</v>
      </c>
      <c r="O529" s="3">
        <v>35</v>
      </c>
      <c r="P529" t="s">
        <v>30</v>
      </c>
      <c r="Q529" s="3">
        <v>27.06</v>
      </c>
      <c r="R529" s="3">
        <v>157.63999999999999</v>
      </c>
      <c r="S529" s="3">
        <v>119.3</v>
      </c>
      <c r="T529" s="3">
        <v>339</v>
      </c>
      <c r="U529" s="3">
        <v>7</v>
      </c>
      <c r="V529" t="s">
        <v>96</v>
      </c>
    </row>
    <row r="530" spans="1:22" x14ac:dyDescent="0.3">
      <c r="A530" t="s">
        <v>614</v>
      </c>
      <c r="B530" s="1">
        <v>46057</v>
      </c>
      <c r="C530" t="s">
        <v>95</v>
      </c>
      <c r="D530" t="s">
        <v>93</v>
      </c>
      <c r="E530" t="s">
        <v>47</v>
      </c>
      <c r="F530" t="s">
        <v>55</v>
      </c>
      <c r="G530" t="s">
        <v>56</v>
      </c>
      <c r="H530">
        <v>1</v>
      </c>
      <c r="I530" s="3">
        <v>699</v>
      </c>
      <c r="J530" s="4">
        <v>10</v>
      </c>
      <c r="K530" s="3">
        <v>629</v>
      </c>
      <c r="L530" s="3">
        <v>629</v>
      </c>
      <c r="M530" t="s">
        <v>28</v>
      </c>
      <c r="N530" t="s">
        <v>29</v>
      </c>
      <c r="O530" s="3">
        <v>35</v>
      </c>
      <c r="P530" t="s">
        <v>30</v>
      </c>
      <c r="Q530" s="3">
        <v>49.96</v>
      </c>
      <c r="R530" s="3">
        <v>316.93</v>
      </c>
      <c r="S530" s="3">
        <v>227.11</v>
      </c>
      <c r="T530" s="3">
        <v>629</v>
      </c>
      <c r="U530" s="3">
        <v>6</v>
      </c>
      <c r="V530" t="s">
        <v>96</v>
      </c>
    </row>
    <row r="531" spans="1:22" x14ac:dyDescent="0.3">
      <c r="A531" t="s">
        <v>615</v>
      </c>
      <c r="B531" s="1">
        <v>46275</v>
      </c>
      <c r="C531" t="s">
        <v>86</v>
      </c>
      <c r="D531" t="s">
        <v>24</v>
      </c>
      <c r="E531" t="s">
        <v>25</v>
      </c>
      <c r="F531" t="s">
        <v>48</v>
      </c>
      <c r="G531" t="s">
        <v>49</v>
      </c>
      <c r="H531">
        <v>1</v>
      </c>
      <c r="I531" s="3">
        <v>349</v>
      </c>
      <c r="J531" s="4">
        <v>20</v>
      </c>
      <c r="K531" s="3">
        <v>279</v>
      </c>
      <c r="L531" s="3">
        <v>279</v>
      </c>
      <c r="M531" t="s">
        <v>28</v>
      </c>
      <c r="N531" t="s">
        <v>29</v>
      </c>
      <c r="O531" s="3">
        <v>35</v>
      </c>
      <c r="P531" t="s">
        <v>30</v>
      </c>
      <c r="Q531" s="3">
        <v>12.13</v>
      </c>
      <c r="R531" s="3">
        <v>132.19999999999999</v>
      </c>
      <c r="S531" s="3">
        <v>99.67</v>
      </c>
      <c r="T531" s="3">
        <v>279</v>
      </c>
      <c r="U531" s="3">
        <v>37</v>
      </c>
      <c r="V531" t="s">
        <v>87</v>
      </c>
    </row>
    <row r="532" spans="1:22" x14ac:dyDescent="0.3">
      <c r="A532" t="s">
        <v>616</v>
      </c>
      <c r="B532" s="1">
        <v>46104</v>
      </c>
      <c r="C532" t="s">
        <v>39</v>
      </c>
      <c r="D532" t="s">
        <v>112</v>
      </c>
      <c r="E532" t="s">
        <v>47</v>
      </c>
      <c r="F532" t="s">
        <v>79</v>
      </c>
      <c r="G532" t="s">
        <v>80</v>
      </c>
      <c r="H532">
        <v>1</v>
      </c>
      <c r="I532" s="3">
        <v>299</v>
      </c>
      <c r="J532" s="4">
        <v>40</v>
      </c>
      <c r="K532" s="3">
        <v>179</v>
      </c>
      <c r="L532" s="3">
        <v>179</v>
      </c>
      <c r="M532" t="s">
        <v>28</v>
      </c>
      <c r="N532" t="s">
        <v>37</v>
      </c>
      <c r="O532" s="3">
        <v>55</v>
      </c>
      <c r="P532" t="s">
        <v>30</v>
      </c>
      <c r="Q532" s="3">
        <v>13.9</v>
      </c>
      <c r="R532" s="3">
        <v>87.29</v>
      </c>
      <c r="S532" s="3">
        <v>22.81</v>
      </c>
      <c r="T532" s="3">
        <v>179</v>
      </c>
      <c r="U532" s="3">
        <v>13</v>
      </c>
      <c r="V532" t="s">
        <v>43</v>
      </c>
    </row>
    <row r="533" spans="1:22" x14ac:dyDescent="0.3">
      <c r="A533" t="s">
        <v>617</v>
      </c>
      <c r="B533" s="1">
        <v>46278</v>
      </c>
      <c r="C533" t="s">
        <v>86</v>
      </c>
      <c r="D533" t="s">
        <v>24</v>
      </c>
      <c r="E533" t="s">
        <v>25</v>
      </c>
      <c r="F533" t="s">
        <v>109</v>
      </c>
      <c r="G533" t="s">
        <v>110</v>
      </c>
      <c r="H533">
        <v>1</v>
      </c>
      <c r="I533" s="3">
        <v>349</v>
      </c>
      <c r="J533" s="4">
        <v>15</v>
      </c>
      <c r="K533" s="3">
        <v>297</v>
      </c>
      <c r="L533" s="3">
        <v>297</v>
      </c>
      <c r="M533" t="s">
        <v>76</v>
      </c>
      <c r="N533" t="s">
        <v>37</v>
      </c>
      <c r="O533" s="3">
        <v>65</v>
      </c>
      <c r="P533" t="s">
        <v>30</v>
      </c>
      <c r="Q533" s="3">
        <v>22.85</v>
      </c>
      <c r="R533" s="3">
        <v>154.37</v>
      </c>
      <c r="S533" s="3">
        <v>54.78</v>
      </c>
      <c r="T533" s="3">
        <v>297</v>
      </c>
      <c r="U533" s="3">
        <v>37</v>
      </c>
      <c r="V533" t="s">
        <v>87</v>
      </c>
    </row>
    <row r="534" spans="1:22" x14ac:dyDescent="0.3">
      <c r="A534" t="s">
        <v>618</v>
      </c>
      <c r="B534" s="1">
        <v>46219</v>
      </c>
      <c r="C534" t="s">
        <v>45</v>
      </c>
      <c r="D534" t="s">
        <v>112</v>
      </c>
      <c r="E534" t="s">
        <v>47</v>
      </c>
      <c r="F534" t="s">
        <v>100</v>
      </c>
      <c r="G534" t="s">
        <v>101</v>
      </c>
      <c r="H534">
        <v>1</v>
      </c>
      <c r="I534" s="3">
        <v>299</v>
      </c>
      <c r="J534" s="4">
        <v>15</v>
      </c>
      <c r="K534" s="3">
        <v>254</v>
      </c>
      <c r="L534" s="3">
        <v>254</v>
      </c>
      <c r="M534" t="s">
        <v>28</v>
      </c>
      <c r="N534" t="s">
        <v>29</v>
      </c>
      <c r="O534" s="3">
        <v>45</v>
      </c>
      <c r="P534" t="s">
        <v>30</v>
      </c>
      <c r="Q534" s="3">
        <v>20.149999999999999</v>
      </c>
      <c r="R534" s="3">
        <v>123.01</v>
      </c>
      <c r="S534" s="3">
        <v>65.84</v>
      </c>
      <c r="T534" s="3">
        <v>254</v>
      </c>
      <c r="U534" s="3">
        <v>29</v>
      </c>
      <c r="V534" t="s">
        <v>50</v>
      </c>
    </row>
    <row r="535" spans="1:22" x14ac:dyDescent="0.3">
      <c r="A535" t="s">
        <v>619</v>
      </c>
      <c r="B535" s="1">
        <v>46032</v>
      </c>
      <c r="C535" t="s">
        <v>52</v>
      </c>
      <c r="D535" t="s">
        <v>53</v>
      </c>
      <c r="E535" t="s">
        <v>54</v>
      </c>
      <c r="F535" t="s">
        <v>55</v>
      </c>
      <c r="G535" t="s">
        <v>56</v>
      </c>
      <c r="H535">
        <v>1</v>
      </c>
      <c r="I535" s="3">
        <v>499</v>
      </c>
      <c r="J535" s="4">
        <v>30</v>
      </c>
      <c r="K535" s="3">
        <v>349</v>
      </c>
      <c r="L535" s="3">
        <v>349</v>
      </c>
      <c r="M535" t="s">
        <v>28</v>
      </c>
      <c r="N535" t="s">
        <v>37</v>
      </c>
      <c r="O535" s="3">
        <v>35</v>
      </c>
      <c r="P535" t="s">
        <v>30</v>
      </c>
      <c r="Q535" s="3">
        <v>25.83</v>
      </c>
      <c r="R535" s="3">
        <v>172.44</v>
      </c>
      <c r="S535" s="3">
        <v>115.73</v>
      </c>
      <c r="T535" s="3">
        <v>349</v>
      </c>
      <c r="U535" s="3">
        <v>2</v>
      </c>
      <c r="V535" t="s">
        <v>57</v>
      </c>
    </row>
    <row r="536" spans="1:22" x14ac:dyDescent="0.3">
      <c r="A536" t="s">
        <v>620</v>
      </c>
      <c r="B536" s="1">
        <v>46264</v>
      </c>
      <c r="C536" t="s">
        <v>67</v>
      </c>
      <c r="D536" t="s">
        <v>53</v>
      </c>
      <c r="E536" t="s">
        <v>54</v>
      </c>
      <c r="F536" t="s">
        <v>55</v>
      </c>
      <c r="G536" t="s">
        <v>56</v>
      </c>
      <c r="H536">
        <v>1</v>
      </c>
      <c r="I536" s="3">
        <v>499</v>
      </c>
      <c r="J536" s="4">
        <v>25</v>
      </c>
      <c r="K536" s="3">
        <v>374</v>
      </c>
      <c r="L536" s="3">
        <v>374</v>
      </c>
      <c r="M536" t="s">
        <v>28</v>
      </c>
      <c r="N536" t="s">
        <v>37</v>
      </c>
      <c r="O536" s="3">
        <v>55</v>
      </c>
      <c r="P536" t="s">
        <v>30</v>
      </c>
      <c r="Q536" s="3">
        <v>21.61</v>
      </c>
      <c r="R536" s="3">
        <v>184.84</v>
      </c>
      <c r="S536" s="3">
        <v>112.55</v>
      </c>
      <c r="T536" s="3">
        <v>374</v>
      </c>
      <c r="U536" s="3">
        <v>35</v>
      </c>
      <c r="V536" t="s">
        <v>71</v>
      </c>
    </row>
    <row r="537" spans="1:22" x14ac:dyDescent="0.3">
      <c r="A537" t="s">
        <v>621</v>
      </c>
      <c r="B537" s="1">
        <v>46273</v>
      </c>
      <c r="C537" t="s">
        <v>86</v>
      </c>
      <c r="D537" t="s">
        <v>59</v>
      </c>
      <c r="E537" t="s">
        <v>60</v>
      </c>
      <c r="F537" t="s">
        <v>35</v>
      </c>
      <c r="G537" t="s">
        <v>36</v>
      </c>
      <c r="H537">
        <v>1</v>
      </c>
      <c r="I537" s="3">
        <v>299</v>
      </c>
      <c r="J537" s="4">
        <v>20</v>
      </c>
      <c r="K537" s="3">
        <v>239</v>
      </c>
      <c r="L537" s="3">
        <v>239</v>
      </c>
      <c r="M537" t="s">
        <v>28</v>
      </c>
      <c r="N537" t="s">
        <v>29</v>
      </c>
      <c r="O537" s="3">
        <v>45</v>
      </c>
      <c r="P537" t="s">
        <v>30</v>
      </c>
      <c r="Q537" s="3">
        <v>10.69</v>
      </c>
      <c r="R537" s="3">
        <v>123.18</v>
      </c>
      <c r="S537" s="3">
        <v>60.13</v>
      </c>
      <c r="T537" s="3">
        <v>239</v>
      </c>
      <c r="U537" s="3">
        <v>37</v>
      </c>
      <c r="V537" t="s">
        <v>87</v>
      </c>
    </row>
    <row r="538" spans="1:22" x14ac:dyDescent="0.3">
      <c r="A538" t="s">
        <v>622</v>
      </c>
      <c r="B538" s="1">
        <v>46027</v>
      </c>
      <c r="C538" t="s">
        <v>52</v>
      </c>
      <c r="D538" t="s">
        <v>24</v>
      </c>
      <c r="E538" t="s">
        <v>25</v>
      </c>
      <c r="F538" t="s">
        <v>109</v>
      </c>
      <c r="G538" t="s">
        <v>110</v>
      </c>
      <c r="H538">
        <v>1</v>
      </c>
      <c r="I538" s="3">
        <v>349</v>
      </c>
      <c r="J538" s="4">
        <v>25</v>
      </c>
      <c r="K538" s="3">
        <v>262</v>
      </c>
      <c r="L538" s="3">
        <v>262</v>
      </c>
      <c r="M538" t="s">
        <v>76</v>
      </c>
      <c r="N538" t="s">
        <v>29</v>
      </c>
      <c r="O538" s="3">
        <v>45</v>
      </c>
      <c r="P538" t="s">
        <v>30</v>
      </c>
      <c r="Q538" s="3">
        <v>11.29</v>
      </c>
      <c r="R538" s="3">
        <v>117.44</v>
      </c>
      <c r="S538" s="3">
        <v>88.27</v>
      </c>
      <c r="T538" s="3">
        <v>262</v>
      </c>
      <c r="U538" s="3">
        <v>2</v>
      </c>
      <c r="V538" t="s">
        <v>57</v>
      </c>
    </row>
    <row r="539" spans="1:22" x14ac:dyDescent="0.3">
      <c r="A539" t="s">
        <v>623</v>
      </c>
      <c r="B539" s="1">
        <v>46141</v>
      </c>
      <c r="C539" t="s">
        <v>23</v>
      </c>
      <c r="D539" t="s">
        <v>115</v>
      </c>
      <c r="E539" t="s">
        <v>116</v>
      </c>
      <c r="F539" t="s">
        <v>26</v>
      </c>
      <c r="G539" t="s">
        <v>27</v>
      </c>
      <c r="H539">
        <v>2</v>
      </c>
      <c r="I539" s="3">
        <v>249</v>
      </c>
      <c r="J539" s="4">
        <v>10</v>
      </c>
      <c r="K539" s="3">
        <v>224</v>
      </c>
      <c r="L539" s="3">
        <v>448</v>
      </c>
      <c r="M539" t="s">
        <v>76</v>
      </c>
      <c r="N539" t="s">
        <v>37</v>
      </c>
      <c r="O539" s="3">
        <v>55</v>
      </c>
      <c r="P539" t="s">
        <v>30</v>
      </c>
      <c r="Q539" s="3">
        <v>24.52</v>
      </c>
      <c r="R539" s="3">
        <v>232.02</v>
      </c>
      <c r="S539" s="3">
        <v>136.46</v>
      </c>
      <c r="T539" s="3">
        <v>224</v>
      </c>
      <c r="U539" s="3">
        <v>18</v>
      </c>
      <c r="V539" t="s">
        <v>31</v>
      </c>
    </row>
    <row r="540" spans="1:22" x14ac:dyDescent="0.3">
      <c r="A540" t="s">
        <v>624</v>
      </c>
      <c r="B540" s="1">
        <v>46087</v>
      </c>
      <c r="C540" t="s">
        <v>39</v>
      </c>
      <c r="D540" t="s">
        <v>46</v>
      </c>
      <c r="E540" t="s">
        <v>47</v>
      </c>
      <c r="F540" t="s">
        <v>55</v>
      </c>
      <c r="G540" t="s">
        <v>56</v>
      </c>
      <c r="H540">
        <v>2</v>
      </c>
      <c r="I540" s="3">
        <v>899</v>
      </c>
      <c r="J540" s="4">
        <v>25</v>
      </c>
      <c r="K540" s="3">
        <v>674</v>
      </c>
      <c r="L540" s="3">
        <v>1348</v>
      </c>
      <c r="M540" t="s">
        <v>28</v>
      </c>
      <c r="N540" t="s">
        <v>29</v>
      </c>
      <c r="O540" s="3">
        <v>55</v>
      </c>
      <c r="P540" t="s">
        <v>30</v>
      </c>
      <c r="Q540" s="3">
        <v>92.6</v>
      </c>
      <c r="R540" s="3">
        <v>625.95000000000005</v>
      </c>
      <c r="S540" s="3">
        <v>574.45000000000005</v>
      </c>
      <c r="T540" s="3">
        <v>674</v>
      </c>
      <c r="U540" s="3">
        <v>10</v>
      </c>
      <c r="V540" t="s">
        <v>43</v>
      </c>
    </row>
    <row r="541" spans="1:22" x14ac:dyDescent="0.3">
      <c r="A541" t="s">
        <v>625</v>
      </c>
      <c r="B541" s="1">
        <v>46168</v>
      </c>
      <c r="C541" t="s">
        <v>62</v>
      </c>
      <c r="D541" t="s">
        <v>59</v>
      </c>
      <c r="E541" t="s">
        <v>60</v>
      </c>
      <c r="F541" t="s">
        <v>35</v>
      </c>
      <c r="G541" t="s">
        <v>36</v>
      </c>
      <c r="H541">
        <v>2</v>
      </c>
      <c r="I541" s="3">
        <v>299</v>
      </c>
      <c r="J541" s="4">
        <v>25</v>
      </c>
      <c r="K541" s="3">
        <v>224</v>
      </c>
      <c r="L541" s="3">
        <v>448</v>
      </c>
      <c r="M541" t="s">
        <v>64</v>
      </c>
      <c r="N541" t="s">
        <v>37</v>
      </c>
      <c r="O541" s="3">
        <v>45</v>
      </c>
      <c r="P541" t="s">
        <v>30</v>
      </c>
      <c r="Q541" s="3">
        <v>26.53</v>
      </c>
      <c r="R541" s="3">
        <v>191.24</v>
      </c>
      <c r="S541" s="3">
        <v>185.23</v>
      </c>
      <c r="T541" s="3">
        <v>224</v>
      </c>
      <c r="U541" s="3">
        <v>22</v>
      </c>
      <c r="V541" t="s">
        <v>65</v>
      </c>
    </row>
    <row r="542" spans="1:22" x14ac:dyDescent="0.3">
      <c r="A542" t="s">
        <v>626</v>
      </c>
      <c r="B542" s="1">
        <v>46246</v>
      </c>
      <c r="C542" t="s">
        <v>67</v>
      </c>
      <c r="D542" t="s">
        <v>40</v>
      </c>
      <c r="E542" t="s">
        <v>41</v>
      </c>
      <c r="F542" t="s">
        <v>35</v>
      </c>
      <c r="G542" t="s">
        <v>36</v>
      </c>
      <c r="H542">
        <v>2</v>
      </c>
      <c r="I542" s="3">
        <v>449</v>
      </c>
      <c r="J542" s="4">
        <v>15</v>
      </c>
      <c r="K542" s="3">
        <v>382</v>
      </c>
      <c r="L542" s="3">
        <v>764</v>
      </c>
      <c r="M542" t="s">
        <v>64</v>
      </c>
      <c r="N542" t="s">
        <v>37</v>
      </c>
      <c r="O542" s="3">
        <v>35</v>
      </c>
      <c r="P542" t="s">
        <v>30</v>
      </c>
      <c r="Q542" s="3">
        <v>32.46</v>
      </c>
      <c r="R542" s="3">
        <v>383.73</v>
      </c>
      <c r="S542" s="3">
        <v>312.81</v>
      </c>
      <c r="T542" s="3">
        <v>382</v>
      </c>
      <c r="U542" s="3">
        <v>33</v>
      </c>
      <c r="V542" t="s">
        <v>71</v>
      </c>
    </row>
    <row r="543" spans="1:22" x14ac:dyDescent="0.3">
      <c r="A543" t="s">
        <v>627</v>
      </c>
      <c r="B543" s="1">
        <v>46261</v>
      </c>
      <c r="C543" t="s">
        <v>67</v>
      </c>
      <c r="D543" t="s">
        <v>63</v>
      </c>
      <c r="E543" t="s">
        <v>47</v>
      </c>
      <c r="F543" t="s">
        <v>42</v>
      </c>
      <c r="G543" t="s">
        <v>27</v>
      </c>
      <c r="H543">
        <v>1</v>
      </c>
      <c r="I543" s="3">
        <v>399</v>
      </c>
      <c r="J543" s="4">
        <v>35</v>
      </c>
      <c r="K543" s="3">
        <v>259</v>
      </c>
      <c r="L543" s="3">
        <v>259</v>
      </c>
      <c r="M543" t="s">
        <v>28</v>
      </c>
      <c r="N543" t="s">
        <v>29</v>
      </c>
      <c r="O543" s="3">
        <v>45</v>
      </c>
      <c r="P543" t="s">
        <v>30</v>
      </c>
      <c r="Q543" s="3">
        <v>12.18</v>
      </c>
      <c r="R543" s="3">
        <v>122.07</v>
      </c>
      <c r="S543" s="3">
        <v>79.75</v>
      </c>
      <c r="T543" s="3">
        <v>259</v>
      </c>
      <c r="U543" s="3">
        <v>35</v>
      </c>
      <c r="V543" t="s">
        <v>71</v>
      </c>
    </row>
    <row r="544" spans="1:22" x14ac:dyDescent="0.3">
      <c r="A544" t="s">
        <v>628</v>
      </c>
      <c r="B544" s="1">
        <v>46199</v>
      </c>
      <c r="C544" t="s">
        <v>78</v>
      </c>
      <c r="D544" t="s">
        <v>74</v>
      </c>
      <c r="E544" t="s">
        <v>75</v>
      </c>
      <c r="F544" t="s">
        <v>55</v>
      </c>
      <c r="G544" t="s">
        <v>56</v>
      </c>
      <c r="H544">
        <v>1</v>
      </c>
      <c r="I544" s="3">
        <v>549</v>
      </c>
      <c r="J544" s="4">
        <v>10</v>
      </c>
      <c r="K544" s="3">
        <v>494</v>
      </c>
      <c r="L544" s="3">
        <v>494</v>
      </c>
      <c r="M544" t="s">
        <v>28</v>
      </c>
      <c r="N544" t="s">
        <v>37</v>
      </c>
      <c r="O544" s="3">
        <v>45</v>
      </c>
      <c r="P544" t="s">
        <v>30</v>
      </c>
      <c r="Q544" s="3">
        <v>26.54</v>
      </c>
      <c r="R544" s="3">
        <v>256.29000000000002</v>
      </c>
      <c r="S544" s="3">
        <v>166.17</v>
      </c>
      <c r="T544" s="3">
        <v>494</v>
      </c>
      <c r="U544" s="3">
        <v>26</v>
      </c>
      <c r="V544" t="s">
        <v>81</v>
      </c>
    </row>
    <row r="545" spans="1:22" x14ac:dyDescent="0.3">
      <c r="A545" t="s">
        <v>629</v>
      </c>
      <c r="B545" s="1">
        <v>46289</v>
      </c>
      <c r="C545" t="s">
        <v>86</v>
      </c>
      <c r="D545" t="s">
        <v>115</v>
      </c>
      <c r="E545" t="s">
        <v>116</v>
      </c>
      <c r="F545" t="s">
        <v>100</v>
      </c>
      <c r="G545" t="s">
        <v>101</v>
      </c>
      <c r="H545">
        <v>1</v>
      </c>
      <c r="I545" s="3">
        <v>249</v>
      </c>
      <c r="J545" s="4">
        <v>15</v>
      </c>
      <c r="K545" s="3">
        <v>212</v>
      </c>
      <c r="L545" s="3">
        <v>212</v>
      </c>
      <c r="M545" t="s">
        <v>28</v>
      </c>
      <c r="N545" t="s">
        <v>29</v>
      </c>
      <c r="O545" s="3">
        <v>65</v>
      </c>
      <c r="P545" t="s">
        <v>30</v>
      </c>
      <c r="Q545" s="3">
        <v>8.91</v>
      </c>
      <c r="R545" s="3">
        <v>91.09</v>
      </c>
      <c r="S545" s="3">
        <v>47</v>
      </c>
      <c r="T545" s="3">
        <v>212</v>
      </c>
      <c r="U545" s="3">
        <v>39</v>
      </c>
      <c r="V545" t="s">
        <v>87</v>
      </c>
    </row>
    <row r="546" spans="1:22" x14ac:dyDescent="0.3">
      <c r="A546" t="s">
        <v>630</v>
      </c>
      <c r="B546" s="1">
        <v>46085</v>
      </c>
      <c r="C546" t="s">
        <v>39</v>
      </c>
      <c r="D546" t="s">
        <v>115</v>
      </c>
      <c r="E546" t="s">
        <v>116</v>
      </c>
      <c r="F546" t="s">
        <v>100</v>
      </c>
      <c r="G546" t="s">
        <v>101</v>
      </c>
      <c r="H546">
        <v>2</v>
      </c>
      <c r="I546" s="3">
        <v>249</v>
      </c>
      <c r="J546" s="4">
        <v>10</v>
      </c>
      <c r="K546" s="3">
        <v>224</v>
      </c>
      <c r="L546" s="3">
        <v>448</v>
      </c>
      <c r="M546" t="s">
        <v>28</v>
      </c>
      <c r="N546" t="s">
        <v>29</v>
      </c>
      <c r="O546" s="3">
        <v>45</v>
      </c>
      <c r="P546" t="s">
        <v>30</v>
      </c>
      <c r="Q546" s="3">
        <v>20.329999999999998</v>
      </c>
      <c r="R546" s="3">
        <v>209.11</v>
      </c>
      <c r="S546" s="3">
        <v>173.56</v>
      </c>
      <c r="T546" s="3">
        <v>224</v>
      </c>
      <c r="U546" s="3">
        <v>10</v>
      </c>
      <c r="V546" t="s">
        <v>43</v>
      </c>
    </row>
    <row r="547" spans="1:22" x14ac:dyDescent="0.3">
      <c r="A547" t="s">
        <v>631</v>
      </c>
      <c r="B547" s="1">
        <v>46239</v>
      </c>
      <c r="C547" t="s">
        <v>67</v>
      </c>
      <c r="D547" t="s">
        <v>112</v>
      </c>
      <c r="E547" t="s">
        <v>47</v>
      </c>
      <c r="F547" t="s">
        <v>84</v>
      </c>
      <c r="G547" t="s">
        <v>84</v>
      </c>
      <c r="H547">
        <v>2</v>
      </c>
      <c r="I547" s="3">
        <v>299</v>
      </c>
      <c r="J547" s="4">
        <v>5</v>
      </c>
      <c r="K547" s="3">
        <v>284</v>
      </c>
      <c r="L547" s="3">
        <v>568</v>
      </c>
      <c r="M547" t="s">
        <v>76</v>
      </c>
      <c r="N547" t="s">
        <v>29</v>
      </c>
      <c r="O547" s="3">
        <v>35</v>
      </c>
      <c r="P547" t="s">
        <v>30</v>
      </c>
      <c r="Q547" s="3">
        <v>35.630000000000003</v>
      </c>
      <c r="R547" s="3">
        <v>283.55</v>
      </c>
      <c r="S547" s="3">
        <v>213.82</v>
      </c>
      <c r="T547" s="3">
        <v>284</v>
      </c>
      <c r="U547" s="3">
        <v>32</v>
      </c>
      <c r="V547" t="s">
        <v>71</v>
      </c>
    </row>
    <row r="548" spans="1:22" x14ac:dyDescent="0.3">
      <c r="A548" t="s">
        <v>632</v>
      </c>
      <c r="B548" s="1">
        <v>46199</v>
      </c>
      <c r="C548" t="s">
        <v>78</v>
      </c>
      <c r="D548" t="s">
        <v>59</v>
      </c>
      <c r="E548" t="s">
        <v>60</v>
      </c>
      <c r="F548" t="s">
        <v>68</v>
      </c>
      <c r="G548" t="s">
        <v>27</v>
      </c>
      <c r="H548">
        <v>1</v>
      </c>
      <c r="I548" s="3">
        <v>299</v>
      </c>
      <c r="J548" s="4">
        <v>35</v>
      </c>
      <c r="K548" s="3">
        <v>194</v>
      </c>
      <c r="L548" s="3">
        <v>194</v>
      </c>
      <c r="M548" t="s">
        <v>76</v>
      </c>
      <c r="N548" t="s">
        <v>29</v>
      </c>
      <c r="O548" s="3">
        <v>55</v>
      </c>
      <c r="P548" t="s">
        <v>30</v>
      </c>
      <c r="Q548" s="3">
        <v>12.53</v>
      </c>
      <c r="R548" s="3">
        <v>99.46</v>
      </c>
      <c r="S548" s="3">
        <v>27.01</v>
      </c>
      <c r="T548" s="3">
        <v>194</v>
      </c>
      <c r="U548" s="3">
        <v>26</v>
      </c>
      <c r="V548" t="s">
        <v>81</v>
      </c>
    </row>
    <row r="549" spans="1:22" x14ac:dyDescent="0.3">
      <c r="A549" t="s">
        <v>633</v>
      </c>
      <c r="B549" s="1">
        <v>46120</v>
      </c>
      <c r="C549" t="s">
        <v>23</v>
      </c>
      <c r="D549" t="s">
        <v>115</v>
      </c>
      <c r="E549" t="s">
        <v>116</v>
      </c>
      <c r="F549" t="s">
        <v>35</v>
      </c>
      <c r="G549" t="s">
        <v>36</v>
      </c>
      <c r="H549">
        <v>1</v>
      </c>
      <c r="I549" s="3">
        <v>249</v>
      </c>
      <c r="J549" s="4">
        <v>15</v>
      </c>
      <c r="K549" s="3">
        <v>212</v>
      </c>
      <c r="L549" s="3">
        <v>212</v>
      </c>
      <c r="M549" t="s">
        <v>69</v>
      </c>
      <c r="N549" t="s">
        <v>29</v>
      </c>
      <c r="O549" s="3">
        <v>65</v>
      </c>
      <c r="P549" t="s">
        <v>70</v>
      </c>
      <c r="Q549" s="3">
        <v>12.48</v>
      </c>
      <c r="R549" s="3">
        <v>95.92</v>
      </c>
      <c r="S549" s="3">
        <v>38.6</v>
      </c>
      <c r="T549" s="3">
        <v>212</v>
      </c>
      <c r="U549" s="3">
        <v>15</v>
      </c>
      <c r="V549" t="s">
        <v>31</v>
      </c>
    </row>
    <row r="550" spans="1:22" x14ac:dyDescent="0.3">
      <c r="A550" t="s">
        <v>634</v>
      </c>
      <c r="B550" s="1">
        <v>46127</v>
      </c>
      <c r="C550" t="s">
        <v>23</v>
      </c>
      <c r="D550" t="s">
        <v>74</v>
      </c>
      <c r="E550" t="s">
        <v>75</v>
      </c>
      <c r="F550" t="s">
        <v>42</v>
      </c>
      <c r="G550" t="s">
        <v>27</v>
      </c>
      <c r="H550">
        <v>3</v>
      </c>
      <c r="I550" s="3">
        <v>549</v>
      </c>
      <c r="J550" s="4">
        <v>5</v>
      </c>
      <c r="K550" s="3">
        <v>522</v>
      </c>
      <c r="L550" s="3">
        <v>1566</v>
      </c>
      <c r="M550" t="s">
        <v>28</v>
      </c>
      <c r="N550" t="s">
        <v>37</v>
      </c>
      <c r="O550" s="3">
        <v>35</v>
      </c>
      <c r="P550" t="s">
        <v>30</v>
      </c>
      <c r="Q550" s="3">
        <v>90.67</v>
      </c>
      <c r="R550" s="3">
        <v>772.04</v>
      </c>
      <c r="S550" s="3">
        <v>668.29</v>
      </c>
      <c r="T550" s="3">
        <v>522</v>
      </c>
      <c r="U550" s="3">
        <v>16</v>
      </c>
      <c r="V550" t="s">
        <v>31</v>
      </c>
    </row>
    <row r="551" spans="1:22" x14ac:dyDescent="0.3">
      <c r="A551" t="s">
        <v>635</v>
      </c>
      <c r="B551" s="1">
        <v>46121</v>
      </c>
      <c r="C551" t="s">
        <v>23</v>
      </c>
      <c r="D551" t="s">
        <v>115</v>
      </c>
      <c r="E551" t="s">
        <v>116</v>
      </c>
      <c r="F551" t="s">
        <v>35</v>
      </c>
      <c r="G551" t="s">
        <v>36</v>
      </c>
      <c r="H551">
        <v>1</v>
      </c>
      <c r="I551" s="3">
        <v>249</v>
      </c>
      <c r="J551" s="4">
        <v>10</v>
      </c>
      <c r="K551" s="3">
        <v>224</v>
      </c>
      <c r="L551" s="3">
        <v>224</v>
      </c>
      <c r="M551" t="s">
        <v>28</v>
      </c>
      <c r="N551" t="s">
        <v>37</v>
      </c>
      <c r="O551" s="3">
        <v>55</v>
      </c>
      <c r="P551" t="s">
        <v>30</v>
      </c>
      <c r="Q551" s="3">
        <v>15.35</v>
      </c>
      <c r="R551" s="3">
        <v>102.88</v>
      </c>
      <c r="S551" s="3">
        <v>50.77</v>
      </c>
      <c r="T551" s="3">
        <v>224</v>
      </c>
      <c r="U551" s="3">
        <v>15</v>
      </c>
      <c r="V551" t="s">
        <v>31</v>
      </c>
    </row>
    <row r="552" spans="1:22" x14ac:dyDescent="0.3">
      <c r="A552" t="s">
        <v>636</v>
      </c>
      <c r="B552" s="1">
        <v>46028</v>
      </c>
      <c r="C552" t="s">
        <v>52</v>
      </c>
      <c r="D552" t="s">
        <v>93</v>
      </c>
      <c r="E552" t="s">
        <v>47</v>
      </c>
      <c r="F552" t="s">
        <v>55</v>
      </c>
      <c r="G552" t="s">
        <v>56</v>
      </c>
      <c r="H552">
        <v>2</v>
      </c>
      <c r="I552" s="3">
        <v>699</v>
      </c>
      <c r="J552" s="4">
        <v>25</v>
      </c>
      <c r="K552" s="3">
        <v>524</v>
      </c>
      <c r="L552" s="3">
        <v>1048</v>
      </c>
      <c r="M552" t="s">
        <v>69</v>
      </c>
      <c r="N552" t="s">
        <v>29</v>
      </c>
      <c r="O552" s="3">
        <v>65</v>
      </c>
      <c r="P552" t="s">
        <v>70</v>
      </c>
      <c r="Q552" s="3">
        <v>45.75</v>
      </c>
      <c r="R552" s="3">
        <v>457.08</v>
      </c>
      <c r="S552" s="3">
        <v>480.17</v>
      </c>
      <c r="T552" s="3">
        <v>524</v>
      </c>
      <c r="U552" s="3">
        <v>2</v>
      </c>
      <c r="V552" t="s">
        <v>57</v>
      </c>
    </row>
    <row r="553" spans="1:22" x14ac:dyDescent="0.3">
      <c r="A553" t="s">
        <v>637</v>
      </c>
      <c r="B553" s="1">
        <v>46219</v>
      </c>
      <c r="C553" t="s">
        <v>45</v>
      </c>
      <c r="D553" t="s">
        <v>130</v>
      </c>
      <c r="E553" t="s">
        <v>54</v>
      </c>
      <c r="F553" t="s">
        <v>48</v>
      </c>
      <c r="G553" t="s">
        <v>49</v>
      </c>
      <c r="H553">
        <v>1</v>
      </c>
      <c r="I553" s="3">
        <v>699</v>
      </c>
      <c r="J553" s="4">
        <v>15</v>
      </c>
      <c r="K553" s="3">
        <v>594</v>
      </c>
      <c r="L553" s="3">
        <v>594</v>
      </c>
      <c r="M553" t="s">
        <v>28</v>
      </c>
      <c r="N553" t="s">
        <v>29</v>
      </c>
      <c r="O553" s="3">
        <v>65</v>
      </c>
      <c r="P553" t="s">
        <v>30</v>
      </c>
      <c r="Q553" s="3">
        <v>41.55</v>
      </c>
      <c r="R553" s="3">
        <v>262.14</v>
      </c>
      <c r="S553" s="3">
        <v>225.31</v>
      </c>
      <c r="T553" s="3">
        <v>594</v>
      </c>
      <c r="U553" s="3">
        <v>29</v>
      </c>
      <c r="V553" t="s">
        <v>50</v>
      </c>
    </row>
    <row r="554" spans="1:22" x14ac:dyDescent="0.3">
      <c r="A554" t="s">
        <v>638</v>
      </c>
      <c r="B554" s="1">
        <v>46155</v>
      </c>
      <c r="C554" t="s">
        <v>62</v>
      </c>
      <c r="D554" t="s">
        <v>112</v>
      </c>
      <c r="E554" t="s">
        <v>47</v>
      </c>
      <c r="F554" t="s">
        <v>55</v>
      </c>
      <c r="G554" t="s">
        <v>56</v>
      </c>
      <c r="H554">
        <v>1</v>
      </c>
      <c r="I554" s="3">
        <v>299</v>
      </c>
      <c r="J554" s="4">
        <v>20</v>
      </c>
      <c r="K554" s="3">
        <v>239</v>
      </c>
      <c r="L554" s="3">
        <v>239</v>
      </c>
      <c r="M554" t="s">
        <v>28</v>
      </c>
      <c r="N554" t="s">
        <v>29</v>
      </c>
      <c r="O554" s="3">
        <v>45</v>
      </c>
      <c r="P554" t="s">
        <v>30</v>
      </c>
      <c r="Q554" s="3">
        <v>10.8</v>
      </c>
      <c r="R554" s="3">
        <v>101.76</v>
      </c>
      <c r="S554" s="3">
        <v>81.44</v>
      </c>
      <c r="T554" s="3">
        <v>239</v>
      </c>
      <c r="U554" s="3">
        <v>20</v>
      </c>
      <c r="V554" t="s">
        <v>65</v>
      </c>
    </row>
    <row r="555" spans="1:22" x14ac:dyDescent="0.3">
      <c r="A555" t="s">
        <v>639</v>
      </c>
      <c r="B555" s="1">
        <v>46281</v>
      </c>
      <c r="C555" t="s">
        <v>86</v>
      </c>
      <c r="D555" t="s">
        <v>53</v>
      </c>
      <c r="E555" t="s">
        <v>54</v>
      </c>
      <c r="F555" t="s">
        <v>35</v>
      </c>
      <c r="G555" t="s">
        <v>36</v>
      </c>
      <c r="H555">
        <v>1</v>
      </c>
      <c r="I555" s="3">
        <v>499</v>
      </c>
      <c r="J555" s="4">
        <v>25</v>
      </c>
      <c r="K555" s="3">
        <v>374</v>
      </c>
      <c r="L555" s="3">
        <v>374</v>
      </c>
      <c r="M555" t="s">
        <v>28</v>
      </c>
      <c r="N555" t="s">
        <v>29</v>
      </c>
      <c r="O555" s="3">
        <v>35</v>
      </c>
      <c r="P555" t="s">
        <v>30</v>
      </c>
      <c r="Q555" s="3">
        <v>24.95</v>
      </c>
      <c r="R555" s="3">
        <v>162.07</v>
      </c>
      <c r="S555" s="3">
        <v>151.97999999999999</v>
      </c>
      <c r="T555" s="3">
        <v>374</v>
      </c>
      <c r="U555" s="3">
        <v>38</v>
      </c>
      <c r="V555" t="s">
        <v>87</v>
      </c>
    </row>
    <row r="556" spans="1:22" x14ac:dyDescent="0.3">
      <c r="A556" t="s">
        <v>640</v>
      </c>
      <c r="B556" s="1">
        <v>46045</v>
      </c>
      <c r="C556" t="s">
        <v>52</v>
      </c>
      <c r="D556" t="s">
        <v>33</v>
      </c>
      <c r="E556" t="s">
        <v>34</v>
      </c>
      <c r="F556" t="s">
        <v>84</v>
      </c>
      <c r="G556" t="s">
        <v>84</v>
      </c>
      <c r="H556">
        <v>1</v>
      </c>
      <c r="I556" s="3">
        <v>599</v>
      </c>
      <c r="J556" s="4">
        <v>35</v>
      </c>
      <c r="K556" s="3">
        <v>389</v>
      </c>
      <c r="L556" s="3">
        <v>389</v>
      </c>
      <c r="M556" t="s">
        <v>28</v>
      </c>
      <c r="N556" t="s">
        <v>29</v>
      </c>
      <c r="O556" s="3">
        <v>35</v>
      </c>
      <c r="P556" t="s">
        <v>30</v>
      </c>
      <c r="Q556" s="3">
        <v>27.72</v>
      </c>
      <c r="R556" s="3">
        <v>182.21</v>
      </c>
      <c r="S556" s="3">
        <v>144.07</v>
      </c>
      <c r="T556" s="3">
        <v>389</v>
      </c>
      <c r="U556" s="3">
        <v>4</v>
      </c>
      <c r="V556" t="s">
        <v>57</v>
      </c>
    </row>
    <row r="557" spans="1:22" x14ac:dyDescent="0.3">
      <c r="A557" t="s">
        <v>641</v>
      </c>
      <c r="B557" s="1">
        <v>46075</v>
      </c>
      <c r="C557" t="s">
        <v>95</v>
      </c>
      <c r="D557" t="s">
        <v>112</v>
      </c>
      <c r="E557" t="s">
        <v>47</v>
      </c>
      <c r="F557" t="s">
        <v>84</v>
      </c>
      <c r="G557" t="s">
        <v>84</v>
      </c>
      <c r="H557">
        <v>1</v>
      </c>
      <c r="I557" s="3">
        <v>299</v>
      </c>
      <c r="J557" s="4">
        <v>25</v>
      </c>
      <c r="K557" s="3">
        <v>224</v>
      </c>
      <c r="L557" s="3">
        <v>224</v>
      </c>
      <c r="M557" t="s">
        <v>28</v>
      </c>
      <c r="N557" t="s">
        <v>37</v>
      </c>
      <c r="O557" s="3">
        <v>35</v>
      </c>
      <c r="P557" t="s">
        <v>30</v>
      </c>
      <c r="Q557" s="3">
        <v>13.48</v>
      </c>
      <c r="R557" s="3">
        <v>99.92</v>
      </c>
      <c r="S557" s="3">
        <v>75.599999999999994</v>
      </c>
      <c r="T557" s="3">
        <v>224</v>
      </c>
      <c r="U557" s="3">
        <v>8</v>
      </c>
      <c r="V557" t="s">
        <v>96</v>
      </c>
    </row>
    <row r="558" spans="1:22" x14ac:dyDescent="0.3">
      <c r="A558" t="s">
        <v>642</v>
      </c>
      <c r="B558" s="1">
        <v>46187</v>
      </c>
      <c r="C558" t="s">
        <v>78</v>
      </c>
      <c r="D558" t="s">
        <v>115</v>
      </c>
      <c r="E558" t="s">
        <v>116</v>
      </c>
      <c r="F558" t="s">
        <v>109</v>
      </c>
      <c r="G558" t="s">
        <v>110</v>
      </c>
      <c r="H558">
        <v>1</v>
      </c>
      <c r="I558" s="3">
        <v>249</v>
      </c>
      <c r="J558" s="4">
        <v>40</v>
      </c>
      <c r="K558" s="3">
        <v>149</v>
      </c>
      <c r="L558" s="3">
        <v>149</v>
      </c>
      <c r="M558" t="s">
        <v>28</v>
      </c>
      <c r="N558" t="s">
        <v>37</v>
      </c>
      <c r="O558" s="3">
        <v>45</v>
      </c>
      <c r="P558" t="s">
        <v>30</v>
      </c>
      <c r="Q558" s="3">
        <v>9.86</v>
      </c>
      <c r="R558" s="3">
        <v>75.58</v>
      </c>
      <c r="S558" s="3">
        <v>18.559999999999999</v>
      </c>
      <c r="T558" s="3">
        <v>149</v>
      </c>
      <c r="U558" s="3">
        <v>24</v>
      </c>
      <c r="V558" t="s">
        <v>81</v>
      </c>
    </row>
    <row r="559" spans="1:22" x14ac:dyDescent="0.3">
      <c r="A559" t="s">
        <v>643</v>
      </c>
      <c r="B559" s="1">
        <v>46224</v>
      </c>
      <c r="C559" t="s">
        <v>45</v>
      </c>
      <c r="D559" t="s">
        <v>40</v>
      </c>
      <c r="E559" t="s">
        <v>41</v>
      </c>
      <c r="F559" t="s">
        <v>109</v>
      </c>
      <c r="G559" t="s">
        <v>110</v>
      </c>
      <c r="H559">
        <v>2</v>
      </c>
      <c r="I559" s="3">
        <v>449</v>
      </c>
      <c r="J559" s="4">
        <v>25</v>
      </c>
      <c r="K559" s="3">
        <v>337</v>
      </c>
      <c r="L559" s="3">
        <v>674</v>
      </c>
      <c r="M559" t="s">
        <v>28</v>
      </c>
      <c r="N559" t="s">
        <v>29</v>
      </c>
      <c r="O559" s="3">
        <v>65</v>
      </c>
      <c r="P559" t="s">
        <v>30</v>
      </c>
      <c r="Q559" s="3">
        <v>39.299999999999997</v>
      </c>
      <c r="R559" s="3">
        <v>309.67</v>
      </c>
      <c r="S559" s="3">
        <v>260.02999999999997</v>
      </c>
      <c r="T559" s="3">
        <v>337</v>
      </c>
      <c r="U559" s="3">
        <v>30</v>
      </c>
      <c r="V559" t="s">
        <v>50</v>
      </c>
    </row>
    <row r="560" spans="1:22" x14ac:dyDescent="0.3">
      <c r="A560" t="s">
        <v>644</v>
      </c>
      <c r="B560" s="1">
        <v>46105</v>
      </c>
      <c r="C560" t="s">
        <v>39</v>
      </c>
      <c r="D560" t="s">
        <v>40</v>
      </c>
      <c r="E560" t="s">
        <v>41</v>
      </c>
      <c r="F560" t="s">
        <v>84</v>
      </c>
      <c r="G560" t="s">
        <v>84</v>
      </c>
      <c r="H560">
        <v>3</v>
      </c>
      <c r="I560" s="3">
        <v>449</v>
      </c>
      <c r="J560" s="4">
        <v>15</v>
      </c>
      <c r="K560" s="3">
        <v>382</v>
      </c>
      <c r="L560" s="3">
        <v>1146</v>
      </c>
      <c r="M560" t="s">
        <v>28</v>
      </c>
      <c r="N560" t="s">
        <v>29</v>
      </c>
      <c r="O560" s="3">
        <v>65</v>
      </c>
      <c r="P560" t="s">
        <v>30</v>
      </c>
      <c r="Q560" s="3">
        <v>84.23</v>
      </c>
      <c r="R560" s="3">
        <v>518.33000000000004</v>
      </c>
      <c r="S560" s="3">
        <v>478.44</v>
      </c>
      <c r="T560" s="3">
        <v>382</v>
      </c>
      <c r="U560" s="3">
        <v>13</v>
      </c>
      <c r="V560" t="s">
        <v>43</v>
      </c>
    </row>
    <row r="561" spans="1:22" x14ac:dyDescent="0.3">
      <c r="A561" t="s">
        <v>645</v>
      </c>
      <c r="B561" s="1">
        <v>46167</v>
      </c>
      <c r="C561" t="s">
        <v>62</v>
      </c>
      <c r="D561" t="s">
        <v>46</v>
      </c>
      <c r="E561" t="s">
        <v>47</v>
      </c>
      <c r="F561" t="s">
        <v>109</v>
      </c>
      <c r="G561" t="s">
        <v>110</v>
      </c>
      <c r="H561">
        <v>1</v>
      </c>
      <c r="I561" s="3">
        <v>899</v>
      </c>
      <c r="J561" s="4">
        <v>10</v>
      </c>
      <c r="K561" s="3">
        <v>809</v>
      </c>
      <c r="L561" s="3">
        <v>809</v>
      </c>
      <c r="M561" t="s">
        <v>28</v>
      </c>
      <c r="N561" t="s">
        <v>37</v>
      </c>
      <c r="O561" s="3">
        <v>55</v>
      </c>
      <c r="P561" t="s">
        <v>30</v>
      </c>
      <c r="Q561" s="3">
        <v>33.96</v>
      </c>
      <c r="R561" s="3">
        <v>371.03</v>
      </c>
      <c r="S561" s="3">
        <v>349.01</v>
      </c>
      <c r="T561" s="3">
        <v>809</v>
      </c>
      <c r="U561" s="3">
        <v>22</v>
      </c>
      <c r="V561" t="s">
        <v>65</v>
      </c>
    </row>
    <row r="562" spans="1:22" x14ac:dyDescent="0.3">
      <c r="A562" t="s">
        <v>646</v>
      </c>
      <c r="B562" s="1">
        <v>46107</v>
      </c>
      <c r="C562" t="s">
        <v>39</v>
      </c>
      <c r="D562" t="s">
        <v>53</v>
      </c>
      <c r="E562" t="s">
        <v>54</v>
      </c>
      <c r="F562" t="s">
        <v>68</v>
      </c>
      <c r="G562" t="s">
        <v>27</v>
      </c>
      <c r="H562">
        <v>1</v>
      </c>
      <c r="I562" s="3">
        <v>499</v>
      </c>
      <c r="J562" s="4">
        <v>15</v>
      </c>
      <c r="K562" s="3">
        <v>424</v>
      </c>
      <c r="L562" s="3">
        <v>424</v>
      </c>
      <c r="M562" t="s">
        <v>28</v>
      </c>
      <c r="N562" t="s">
        <v>37</v>
      </c>
      <c r="O562" s="3">
        <v>65</v>
      </c>
      <c r="P562" t="s">
        <v>30</v>
      </c>
      <c r="Q562" s="3">
        <v>25.68</v>
      </c>
      <c r="R562" s="3">
        <v>211.13</v>
      </c>
      <c r="S562" s="3">
        <v>122.19</v>
      </c>
      <c r="T562" s="3">
        <v>424</v>
      </c>
      <c r="U562" s="3">
        <v>13</v>
      </c>
      <c r="V562" t="s">
        <v>43</v>
      </c>
    </row>
    <row r="563" spans="1:22" x14ac:dyDescent="0.3">
      <c r="A563" t="s">
        <v>647</v>
      </c>
      <c r="B563" s="1">
        <v>46100</v>
      </c>
      <c r="C563" t="s">
        <v>39</v>
      </c>
      <c r="D563" t="s">
        <v>59</v>
      </c>
      <c r="E563" t="s">
        <v>60</v>
      </c>
      <c r="F563" t="s">
        <v>68</v>
      </c>
      <c r="G563" t="s">
        <v>27</v>
      </c>
      <c r="H563">
        <v>2</v>
      </c>
      <c r="I563" s="3">
        <v>299</v>
      </c>
      <c r="J563" s="4">
        <v>20</v>
      </c>
      <c r="K563" s="3">
        <v>239</v>
      </c>
      <c r="L563" s="3">
        <v>478</v>
      </c>
      <c r="M563" t="s">
        <v>28</v>
      </c>
      <c r="N563" t="s">
        <v>29</v>
      </c>
      <c r="O563" s="3">
        <v>55</v>
      </c>
      <c r="P563" t="s">
        <v>30</v>
      </c>
      <c r="Q563" s="3">
        <v>30.73</v>
      </c>
      <c r="R563" s="3">
        <v>204.99</v>
      </c>
      <c r="S563" s="3">
        <v>187.28</v>
      </c>
      <c r="T563" s="3">
        <v>239</v>
      </c>
      <c r="U563" s="3">
        <v>12</v>
      </c>
      <c r="V563" t="s">
        <v>43</v>
      </c>
    </row>
    <row r="564" spans="1:22" x14ac:dyDescent="0.3">
      <c r="A564" t="s">
        <v>648</v>
      </c>
      <c r="B564" s="1">
        <v>46023</v>
      </c>
      <c r="C564" t="s">
        <v>52</v>
      </c>
      <c r="D564" t="s">
        <v>112</v>
      </c>
      <c r="E564" t="s">
        <v>47</v>
      </c>
      <c r="F564" t="s">
        <v>26</v>
      </c>
      <c r="G564" t="s">
        <v>27</v>
      </c>
      <c r="H564">
        <v>1</v>
      </c>
      <c r="I564" s="3">
        <v>299</v>
      </c>
      <c r="J564" s="4">
        <v>30</v>
      </c>
      <c r="K564" s="3">
        <v>209</v>
      </c>
      <c r="L564" s="3">
        <v>209</v>
      </c>
      <c r="M564" t="s">
        <v>28</v>
      </c>
      <c r="N564" t="s">
        <v>37</v>
      </c>
      <c r="O564" s="3">
        <v>65</v>
      </c>
      <c r="P564" t="s">
        <v>30</v>
      </c>
      <c r="Q564" s="3">
        <v>14.1</v>
      </c>
      <c r="R564" s="3">
        <v>104.81</v>
      </c>
      <c r="S564" s="3">
        <v>25.09</v>
      </c>
      <c r="T564" s="3">
        <v>209</v>
      </c>
      <c r="U564" s="3">
        <v>1</v>
      </c>
      <c r="V564" t="s">
        <v>57</v>
      </c>
    </row>
    <row r="565" spans="1:22" x14ac:dyDescent="0.3">
      <c r="A565" t="s">
        <v>649</v>
      </c>
      <c r="B565" s="1">
        <v>46073</v>
      </c>
      <c r="C565" t="s">
        <v>95</v>
      </c>
      <c r="D565" t="s">
        <v>74</v>
      </c>
      <c r="E565" t="s">
        <v>75</v>
      </c>
      <c r="F565" t="s">
        <v>84</v>
      </c>
      <c r="G565" t="s">
        <v>84</v>
      </c>
      <c r="H565">
        <v>1</v>
      </c>
      <c r="I565" s="3">
        <v>549</v>
      </c>
      <c r="J565" s="4">
        <v>40</v>
      </c>
      <c r="K565" s="3">
        <v>329</v>
      </c>
      <c r="L565" s="3">
        <v>329</v>
      </c>
      <c r="M565" t="s">
        <v>28</v>
      </c>
      <c r="N565" t="s">
        <v>37</v>
      </c>
      <c r="O565" s="3">
        <v>65</v>
      </c>
      <c r="P565" t="s">
        <v>30</v>
      </c>
      <c r="Q565" s="3">
        <v>19.52</v>
      </c>
      <c r="R565" s="3">
        <v>145.41999999999999</v>
      </c>
      <c r="S565" s="3">
        <v>99.06</v>
      </c>
      <c r="T565" s="3">
        <v>329</v>
      </c>
      <c r="U565" s="3">
        <v>8</v>
      </c>
      <c r="V565" t="s">
        <v>96</v>
      </c>
    </row>
    <row r="566" spans="1:22" x14ac:dyDescent="0.3">
      <c r="A566" t="s">
        <v>650</v>
      </c>
      <c r="B566" s="1">
        <v>46195</v>
      </c>
      <c r="C566" t="s">
        <v>78</v>
      </c>
      <c r="D566" t="s">
        <v>46</v>
      </c>
      <c r="E566" t="s">
        <v>47</v>
      </c>
      <c r="F566" t="s">
        <v>35</v>
      </c>
      <c r="G566" t="s">
        <v>36</v>
      </c>
      <c r="H566">
        <v>1</v>
      </c>
      <c r="I566" s="3">
        <v>899</v>
      </c>
      <c r="J566" s="4">
        <v>25</v>
      </c>
      <c r="K566" s="3">
        <v>674</v>
      </c>
      <c r="L566" s="3">
        <v>674</v>
      </c>
      <c r="M566" t="s">
        <v>28</v>
      </c>
      <c r="N566" t="s">
        <v>37</v>
      </c>
      <c r="O566" s="3">
        <v>55</v>
      </c>
      <c r="P566" t="s">
        <v>30</v>
      </c>
      <c r="Q566" s="3">
        <v>38.04</v>
      </c>
      <c r="R566" s="3">
        <v>330.53</v>
      </c>
      <c r="S566" s="3">
        <v>250.43</v>
      </c>
      <c r="T566" s="3">
        <v>674</v>
      </c>
      <c r="U566" s="3">
        <v>26</v>
      </c>
      <c r="V566" t="s">
        <v>81</v>
      </c>
    </row>
    <row r="567" spans="1:22" x14ac:dyDescent="0.3">
      <c r="A567" t="s">
        <v>651</v>
      </c>
      <c r="B567" s="1">
        <v>46227</v>
      </c>
      <c r="C567" t="s">
        <v>45</v>
      </c>
      <c r="D567" t="s">
        <v>74</v>
      </c>
      <c r="E567" t="s">
        <v>75</v>
      </c>
      <c r="F567" t="s">
        <v>100</v>
      </c>
      <c r="G567" t="s">
        <v>101</v>
      </c>
      <c r="H567">
        <v>1</v>
      </c>
      <c r="I567" s="3">
        <v>549</v>
      </c>
      <c r="J567" s="4">
        <v>40</v>
      </c>
      <c r="K567" s="3">
        <v>329</v>
      </c>
      <c r="L567" s="3">
        <v>329</v>
      </c>
      <c r="M567" t="s">
        <v>69</v>
      </c>
      <c r="N567" t="s">
        <v>29</v>
      </c>
      <c r="O567" s="3">
        <v>55</v>
      </c>
      <c r="P567" t="s">
        <v>70</v>
      </c>
      <c r="Q567" s="3">
        <v>19.010000000000002</v>
      </c>
      <c r="R567" s="3">
        <v>148.16</v>
      </c>
      <c r="S567" s="3">
        <v>106.83</v>
      </c>
      <c r="T567" s="3">
        <v>329</v>
      </c>
      <c r="U567" s="3">
        <v>30</v>
      </c>
      <c r="V567" t="s">
        <v>50</v>
      </c>
    </row>
    <row r="568" spans="1:22" x14ac:dyDescent="0.3">
      <c r="A568" t="s">
        <v>652</v>
      </c>
      <c r="B568" s="1">
        <v>46282</v>
      </c>
      <c r="C568" t="s">
        <v>86</v>
      </c>
      <c r="D568" t="s">
        <v>74</v>
      </c>
      <c r="E568" t="s">
        <v>75</v>
      </c>
      <c r="F568" t="s">
        <v>79</v>
      </c>
      <c r="G568" t="s">
        <v>80</v>
      </c>
      <c r="H568">
        <v>1</v>
      </c>
      <c r="I568" s="3">
        <v>549</v>
      </c>
      <c r="J568" s="4">
        <v>30</v>
      </c>
      <c r="K568" s="3">
        <v>384</v>
      </c>
      <c r="L568" s="3">
        <v>384</v>
      </c>
      <c r="M568" t="s">
        <v>64</v>
      </c>
      <c r="N568" t="s">
        <v>37</v>
      </c>
      <c r="O568" s="3">
        <v>45</v>
      </c>
      <c r="P568" t="s">
        <v>30</v>
      </c>
      <c r="Q568" s="3">
        <v>15.55</v>
      </c>
      <c r="R568" s="3">
        <v>186.03</v>
      </c>
      <c r="S568" s="3">
        <v>137.41999999999999</v>
      </c>
      <c r="T568" s="3">
        <v>384</v>
      </c>
      <c r="U568" s="3">
        <v>38</v>
      </c>
      <c r="V568" t="s">
        <v>87</v>
      </c>
    </row>
    <row r="569" spans="1:22" x14ac:dyDescent="0.3">
      <c r="A569" t="s">
        <v>653</v>
      </c>
      <c r="B569" s="1">
        <v>46056</v>
      </c>
      <c r="C569" t="s">
        <v>95</v>
      </c>
      <c r="D569" t="s">
        <v>93</v>
      </c>
      <c r="E569" t="s">
        <v>47</v>
      </c>
      <c r="F569" t="s">
        <v>84</v>
      </c>
      <c r="G569" t="s">
        <v>84</v>
      </c>
      <c r="H569">
        <v>1</v>
      </c>
      <c r="I569" s="3">
        <v>699</v>
      </c>
      <c r="J569" s="4">
        <v>40</v>
      </c>
      <c r="K569" s="3">
        <v>419</v>
      </c>
      <c r="L569" s="3">
        <v>419</v>
      </c>
      <c r="M569" t="s">
        <v>76</v>
      </c>
      <c r="N569" t="s">
        <v>29</v>
      </c>
      <c r="O569" s="3">
        <v>45</v>
      </c>
      <c r="P569" t="s">
        <v>30</v>
      </c>
      <c r="Q569" s="3">
        <v>22.28</v>
      </c>
      <c r="R569" s="3">
        <v>205.03</v>
      </c>
      <c r="S569" s="3">
        <v>146.69</v>
      </c>
      <c r="T569" s="3">
        <v>419</v>
      </c>
      <c r="U569" s="3">
        <v>6</v>
      </c>
      <c r="V569" t="s">
        <v>96</v>
      </c>
    </row>
    <row r="570" spans="1:22" x14ac:dyDescent="0.3">
      <c r="A570" t="s">
        <v>654</v>
      </c>
      <c r="B570" s="1">
        <v>46117</v>
      </c>
      <c r="C570" t="s">
        <v>23</v>
      </c>
      <c r="D570" t="s">
        <v>33</v>
      </c>
      <c r="E570" t="s">
        <v>34</v>
      </c>
      <c r="F570" t="s">
        <v>55</v>
      </c>
      <c r="G570" t="s">
        <v>56</v>
      </c>
      <c r="H570">
        <v>2</v>
      </c>
      <c r="I570" s="3">
        <v>599</v>
      </c>
      <c r="J570" s="4">
        <v>30</v>
      </c>
      <c r="K570" s="3">
        <v>419</v>
      </c>
      <c r="L570" s="3">
        <v>838</v>
      </c>
      <c r="M570" t="s">
        <v>69</v>
      </c>
      <c r="N570" t="s">
        <v>37</v>
      </c>
      <c r="O570" s="3">
        <v>35</v>
      </c>
      <c r="P570" t="s">
        <v>70</v>
      </c>
      <c r="Q570" s="3">
        <v>56.75</v>
      </c>
      <c r="R570" s="3">
        <v>434.7</v>
      </c>
      <c r="S570" s="3">
        <v>311.55</v>
      </c>
      <c r="T570" s="3">
        <v>419</v>
      </c>
      <c r="U570" s="3">
        <v>14</v>
      </c>
      <c r="V570" t="s">
        <v>31</v>
      </c>
    </row>
    <row r="571" spans="1:22" x14ac:dyDescent="0.3">
      <c r="A571" t="s">
        <v>655</v>
      </c>
      <c r="B571" s="1">
        <v>46094</v>
      </c>
      <c r="C571" t="s">
        <v>39</v>
      </c>
      <c r="D571" t="s">
        <v>63</v>
      </c>
      <c r="E571" t="s">
        <v>47</v>
      </c>
      <c r="F571" t="s">
        <v>79</v>
      </c>
      <c r="G571" t="s">
        <v>80</v>
      </c>
      <c r="H571">
        <v>1</v>
      </c>
      <c r="I571" s="3">
        <v>399</v>
      </c>
      <c r="J571" s="4">
        <v>20</v>
      </c>
      <c r="K571" s="3">
        <v>319</v>
      </c>
      <c r="L571" s="3">
        <v>319</v>
      </c>
      <c r="M571" t="s">
        <v>28</v>
      </c>
      <c r="N571" t="s">
        <v>37</v>
      </c>
      <c r="O571" s="3">
        <v>65</v>
      </c>
      <c r="P571" t="s">
        <v>30</v>
      </c>
      <c r="Q571" s="3">
        <v>16.260000000000002</v>
      </c>
      <c r="R571" s="3">
        <v>149.11000000000001</v>
      </c>
      <c r="S571" s="3">
        <v>88.63</v>
      </c>
      <c r="T571" s="3">
        <v>319</v>
      </c>
      <c r="U571" s="3">
        <v>11</v>
      </c>
      <c r="V571" t="s">
        <v>43</v>
      </c>
    </row>
    <row r="572" spans="1:22" x14ac:dyDescent="0.3">
      <c r="A572" t="s">
        <v>656</v>
      </c>
      <c r="B572" s="1">
        <v>46061</v>
      </c>
      <c r="C572" t="s">
        <v>95</v>
      </c>
      <c r="D572" t="s">
        <v>33</v>
      </c>
      <c r="E572" t="s">
        <v>34</v>
      </c>
      <c r="F572" t="s">
        <v>55</v>
      </c>
      <c r="G572" t="s">
        <v>56</v>
      </c>
      <c r="H572">
        <v>1</v>
      </c>
      <c r="I572" s="3">
        <v>599</v>
      </c>
      <c r="J572" s="4">
        <v>20</v>
      </c>
      <c r="K572" s="3">
        <v>479</v>
      </c>
      <c r="L572" s="3">
        <v>479</v>
      </c>
      <c r="M572" t="s">
        <v>76</v>
      </c>
      <c r="N572" t="s">
        <v>37</v>
      </c>
      <c r="O572" s="3">
        <v>55</v>
      </c>
      <c r="P572" t="s">
        <v>30</v>
      </c>
      <c r="Q572" s="3">
        <v>20.14</v>
      </c>
      <c r="R572" s="3">
        <v>212.33</v>
      </c>
      <c r="S572" s="3">
        <v>191.53</v>
      </c>
      <c r="T572" s="3">
        <v>479</v>
      </c>
      <c r="U572" s="3">
        <v>6</v>
      </c>
      <c r="V572" t="s">
        <v>96</v>
      </c>
    </row>
    <row r="573" spans="1:22" x14ac:dyDescent="0.3">
      <c r="A573" t="s">
        <v>657</v>
      </c>
      <c r="B573" s="1">
        <v>46176</v>
      </c>
      <c r="C573" t="s">
        <v>78</v>
      </c>
      <c r="D573" t="s">
        <v>46</v>
      </c>
      <c r="E573" t="s">
        <v>47</v>
      </c>
      <c r="F573" t="s">
        <v>109</v>
      </c>
      <c r="G573" t="s">
        <v>110</v>
      </c>
      <c r="H573">
        <v>1</v>
      </c>
      <c r="I573" s="3">
        <v>899</v>
      </c>
      <c r="J573" s="4">
        <v>20</v>
      </c>
      <c r="K573" s="3">
        <v>719</v>
      </c>
      <c r="L573" s="3">
        <v>719</v>
      </c>
      <c r="M573" t="s">
        <v>28</v>
      </c>
      <c r="N573" t="s">
        <v>37</v>
      </c>
      <c r="O573" s="3">
        <v>45</v>
      </c>
      <c r="P573" t="s">
        <v>30</v>
      </c>
      <c r="Q573" s="3">
        <v>41.59</v>
      </c>
      <c r="R573" s="3">
        <v>341.81</v>
      </c>
      <c r="S573" s="3">
        <v>290.60000000000002</v>
      </c>
      <c r="T573" s="3">
        <v>719</v>
      </c>
      <c r="U573" s="3">
        <v>23</v>
      </c>
      <c r="V573" t="s">
        <v>81</v>
      </c>
    </row>
    <row r="574" spans="1:22" x14ac:dyDescent="0.3">
      <c r="A574" t="s">
        <v>658</v>
      </c>
      <c r="B574" s="1">
        <v>46272</v>
      </c>
      <c r="C574" t="s">
        <v>86</v>
      </c>
      <c r="D574" t="s">
        <v>33</v>
      </c>
      <c r="E574" t="s">
        <v>34</v>
      </c>
      <c r="F574" t="s">
        <v>109</v>
      </c>
      <c r="G574" t="s">
        <v>110</v>
      </c>
      <c r="H574">
        <v>1</v>
      </c>
      <c r="I574" s="3">
        <v>599</v>
      </c>
      <c r="J574" s="4">
        <v>10</v>
      </c>
      <c r="K574" s="3">
        <v>539</v>
      </c>
      <c r="L574" s="3">
        <v>539</v>
      </c>
      <c r="M574" t="s">
        <v>76</v>
      </c>
      <c r="N574" t="s">
        <v>37</v>
      </c>
      <c r="O574" s="3">
        <v>45</v>
      </c>
      <c r="P574" t="s">
        <v>30</v>
      </c>
      <c r="Q574" s="3">
        <v>40.96</v>
      </c>
      <c r="R574" s="3">
        <v>260.25</v>
      </c>
      <c r="S574" s="3">
        <v>192.79</v>
      </c>
      <c r="T574" s="3">
        <v>539</v>
      </c>
      <c r="U574" s="3">
        <v>37</v>
      </c>
      <c r="V574" t="s">
        <v>87</v>
      </c>
    </row>
    <row r="575" spans="1:22" x14ac:dyDescent="0.3">
      <c r="A575" t="s">
        <v>659</v>
      </c>
      <c r="B575" s="1">
        <v>46184</v>
      </c>
      <c r="C575" t="s">
        <v>78</v>
      </c>
      <c r="D575" t="s">
        <v>93</v>
      </c>
      <c r="E575" t="s">
        <v>47</v>
      </c>
      <c r="F575" t="s">
        <v>79</v>
      </c>
      <c r="G575" t="s">
        <v>80</v>
      </c>
      <c r="H575">
        <v>1</v>
      </c>
      <c r="I575" s="3">
        <v>699</v>
      </c>
      <c r="J575" s="4">
        <v>25</v>
      </c>
      <c r="K575" s="3">
        <v>524</v>
      </c>
      <c r="L575" s="3">
        <v>524</v>
      </c>
      <c r="M575" t="s">
        <v>28</v>
      </c>
      <c r="N575" t="s">
        <v>37</v>
      </c>
      <c r="O575" s="3">
        <v>55</v>
      </c>
      <c r="P575" t="s">
        <v>30</v>
      </c>
      <c r="Q575" s="3">
        <v>26.24</v>
      </c>
      <c r="R575" s="3">
        <v>263.24</v>
      </c>
      <c r="S575" s="3">
        <v>179.52</v>
      </c>
      <c r="T575" s="3">
        <v>524</v>
      </c>
      <c r="U575" s="3">
        <v>24</v>
      </c>
      <c r="V575" t="s">
        <v>81</v>
      </c>
    </row>
    <row r="576" spans="1:22" x14ac:dyDescent="0.3">
      <c r="A576" t="s">
        <v>660</v>
      </c>
      <c r="B576" s="1">
        <v>46140</v>
      </c>
      <c r="C576" t="s">
        <v>23</v>
      </c>
      <c r="D576" t="s">
        <v>63</v>
      </c>
      <c r="E576" t="s">
        <v>47</v>
      </c>
      <c r="F576" t="s">
        <v>84</v>
      </c>
      <c r="G576" t="s">
        <v>84</v>
      </c>
      <c r="H576">
        <v>1</v>
      </c>
      <c r="I576" s="3">
        <v>399</v>
      </c>
      <c r="J576" s="4">
        <v>20</v>
      </c>
      <c r="K576" s="3">
        <v>319</v>
      </c>
      <c r="L576" s="3">
        <v>319</v>
      </c>
      <c r="M576" t="s">
        <v>28</v>
      </c>
      <c r="N576" t="s">
        <v>37</v>
      </c>
      <c r="O576" s="3">
        <v>65</v>
      </c>
      <c r="P576" t="s">
        <v>30</v>
      </c>
      <c r="Q576" s="3">
        <v>25.51</v>
      </c>
      <c r="R576" s="3">
        <v>141.01</v>
      </c>
      <c r="S576" s="3">
        <v>87.48</v>
      </c>
      <c r="T576" s="3">
        <v>319</v>
      </c>
      <c r="U576" s="3">
        <v>18</v>
      </c>
      <c r="V576" t="s">
        <v>31</v>
      </c>
    </row>
    <row r="577" spans="1:22" x14ac:dyDescent="0.3">
      <c r="A577" t="s">
        <v>661</v>
      </c>
      <c r="B577" s="1">
        <v>46281</v>
      </c>
      <c r="C577" t="s">
        <v>86</v>
      </c>
      <c r="D577" t="s">
        <v>112</v>
      </c>
      <c r="E577" t="s">
        <v>47</v>
      </c>
      <c r="F577" t="s">
        <v>84</v>
      </c>
      <c r="G577" t="s">
        <v>84</v>
      </c>
      <c r="H577">
        <v>1</v>
      </c>
      <c r="I577" s="3">
        <v>299</v>
      </c>
      <c r="J577" s="4">
        <v>20</v>
      </c>
      <c r="K577" s="3">
        <v>239</v>
      </c>
      <c r="L577" s="3">
        <v>239</v>
      </c>
      <c r="M577" t="s">
        <v>76</v>
      </c>
      <c r="N577" t="s">
        <v>29</v>
      </c>
      <c r="O577" s="3">
        <v>65</v>
      </c>
      <c r="P577" t="s">
        <v>30</v>
      </c>
      <c r="Q577" s="3">
        <v>10.58</v>
      </c>
      <c r="R577" s="3">
        <v>115.9</v>
      </c>
      <c r="S577" s="3">
        <v>47.52</v>
      </c>
      <c r="T577" s="3">
        <v>239</v>
      </c>
      <c r="U577" s="3">
        <v>38</v>
      </c>
      <c r="V577" t="s">
        <v>87</v>
      </c>
    </row>
    <row r="578" spans="1:22" x14ac:dyDescent="0.3">
      <c r="A578" t="s">
        <v>662</v>
      </c>
      <c r="B578" s="1">
        <v>46076</v>
      </c>
      <c r="C578" t="s">
        <v>95</v>
      </c>
      <c r="D578" t="s">
        <v>130</v>
      </c>
      <c r="E578" t="s">
        <v>54</v>
      </c>
      <c r="F578" t="s">
        <v>79</v>
      </c>
      <c r="G578" t="s">
        <v>80</v>
      </c>
      <c r="H578">
        <v>1</v>
      </c>
      <c r="I578" s="3">
        <v>699</v>
      </c>
      <c r="J578" s="4">
        <v>15</v>
      </c>
      <c r="K578" s="3">
        <v>594</v>
      </c>
      <c r="L578" s="3">
        <v>594</v>
      </c>
      <c r="M578" t="s">
        <v>28</v>
      </c>
      <c r="N578" t="s">
        <v>37</v>
      </c>
      <c r="O578" s="3">
        <v>45</v>
      </c>
      <c r="P578" t="s">
        <v>30</v>
      </c>
      <c r="Q578" s="3">
        <v>29.88</v>
      </c>
      <c r="R578" s="3">
        <v>257.54000000000002</v>
      </c>
      <c r="S578" s="3">
        <v>261.58</v>
      </c>
      <c r="T578" s="3">
        <v>594</v>
      </c>
      <c r="U578" s="3">
        <v>9</v>
      </c>
      <c r="V578" t="s">
        <v>96</v>
      </c>
    </row>
    <row r="579" spans="1:22" x14ac:dyDescent="0.3">
      <c r="A579" t="s">
        <v>663</v>
      </c>
      <c r="B579" s="1">
        <v>46258</v>
      </c>
      <c r="C579" t="s">
        <v>67</v>
      </c>
      <c r="D579" t="s">
        <v>112</v>
      </c>
      <c r="E579" t="s">
        <v>47</v>
      </c>
      <c r="F579" t="s">
        <v>100</v>
      </c>
      <c r="G579" t="s">
        <v>101</v>
      </c>
      <c r="H579">
        <v>2</v>
      </c>
      <c r="I579" s="3">
        <v>299</v>
      </c>
      <c r="J579" s="4">
        <v>25</v>
      </c>
      <c r="K579" s="3">
        <v>224</v>
      </c>
      <c r="L579" s="3">
        <v>448</v>
      </c>
      <c r="M579" t="s">
        <v>64</v>
      </c>
      <c r="N579" t="s">
        <v>29</v>
      </c>
      <c r="O579" s="3">
        <v>45</v>
      </c>
      <c r="P579" t="s">
        <v>30</v>
      </c>
      <c r="Q579" s="3">
        <v>27.01</v>
      </c>
      <c r="R579" s="3">
        <v>213.79</v>
      </c>
      <c r="S579" s="3">
        <v>162.19999999999999</v>
      </c>
      <c r="T579" s="3">
        <v>224</v>
      </c>
      <c r="U579" s="3">
        <v>35</v>
      </c>
      <c r="V579" t="s">
        <v>71</v>
      </c>
    </row>
    <row r="580" spans="1:22" x14ac:dyDescent="0.3">
      <c r="A580" t="s">
        <v>664</v>
      </c>
      <c r="B580" s="1">
        <v>46244</v>
      </c>
      <c r="C580" t="s">
        <v>67</v>
      </c>
      <c r="D580" t="s">
        <v>112</v>
      </c>
      <c r="E580" t="s">
        <v>47</v>
      </c>
      <c r="F580" t="s">
        <v>68</v>
      </c>
      <c r="G580" t="s">
        <v>27</v>
      </c>
      <c r="H580">
        <v>1</v>
      </c>
      <c r="I580" s="3">
        <v>299</v>
      </c>
      <c r="J580" s="4">
        <v>40</v>
      </c>
      <c r="K580" s="3">
        <v>179</v>
      </c>
      <c r="L580" s="3">
        <v>179</v>
      </c>
      <c r="M580" t="s">
        <v>28</v>
      </c>
      <c r="N580" t="s">
        <v>29</v>
      </c>
      <c r="O580" s="3">
        <v>65</v>
      </c>
      <c r="P580" t="s">
        <v>30</v>
      </c>
      <c r="Q580" s="3">
        <v>11.48</v>
      </c>
      <c r="R580" s="3">
        <v>86.89</v>
      </c>
      <c r="S580" s="3">
        <v>15.63</v>
      </c>
      <c r="T580" s="3">
        <v>179</v>
      </c>
      <c r="U580" s="3">
        <v>33</v>
      </c>
      <c r="V580" t="s">
        <v>71</v>
      </c>
    </row>
    <row r="581" spans="1:22" x14ac:dyDescent="0.3">
      <c r="A581" t="s">
        <v>665</v>
      </c>
      <c r="B581" s="1">
        <v>46273</v>
      </c>
      <c r="C581" t="s">
        <v>86</v>
      </c>
      <c r="D581" t="s">
        <v>33</v>
      </c>
      <c r="E581" t="s">
        <v>34</v>
      </c>
      <c r="F581" t="s">
        <v>42</v>
      </c>
      <c r="G581" t="s">
        <v>27</v>
      </c>
      <c r="H581">
        <v>2</v>
      </c>
      <c r="I581" s="3">
        <v>599</v>
      </c>
      <c r="J581" s="4">
        <v>40</v>
      </c>
      <c r="K581" s="3">
        <v>359</v>
      </c>
      <c r="L581" s="3">
        <v>718</v>
      </c>
      <c r="M581" t="s">
        <v>69</v>
      </c>
      <c r="N581" t="s">
        <v>29</v>
      </c>
      <c r="O581" s="3">
        <v>55</v>
      </c>
      <c r="P581" t="s">
        <v>70</v>
      </c>
      <c r="Q581" s="3">
        <v>31.36</v>
      </c>
      <c r="R581" s="3">
        <v>350.45</v>
      </c>
      <c r="S581" s="3">
        <v>281.19</v>
      </c>
      <c r="T581" s="3">
        <v>359</v>
      </c>
      <c r="U581" s="3">
        <v>37</v>
      </c>
      <c r="V581" t="s">
        <v>87</v>
      </c>
    </row>
    <row r="582" spans="1:22" x14ac:dyDescent="0.3">
      <c r="A582" t="s">
        <v>666</v>
      </c>
      <c r="B582" s="1">
        <v>46134</v>
      </c>
      <c r="C582" t="s">
        <v>23</v>
      </c>
      <c r="D582" t="s">
        <v>74</v>
      </c>
      <c r="E582" t="s">
        <v>75</v>
      </c>
      <c r="F582" t="s">
        <v>84</v>
      </c>
      <c r="G582" t="s">
        <v>84</v>
      </c>
      <c r="H582">
        <v>1</v>
      </c>
      <c r="I582" s="3">
        <v>549</v>
      </c>
      <c r="J582" s="4">
        <v>40</v>
      </c>
      <c r="K582" s="3">
        <v>329</v>
      </c>
      <c r="L582" s="3">
        <v>329</v>
      </c>
      <c r="M582" t="s">
        <v>102</v>
      </c>
      <c r="N582" t="s">
        <v>37</v>
      </c>
      <c r="O582" s="3">
        <v>45</v>
      </c>
      <c r="P582" t="s">
        <v>30</v>
      </c>
      <c r="Q582" s="3">
        <v>20.9</v>
      </c>
      <c r="R582" s="3">
        <v>145.18</v>
      </c>
      <c r="S582" s="3">
        <v>117.92</v>
      </c>
      <c r="T582" s="3">
        <v>329</v>
      </c>
      <c r="U582" s="3">
        <v>17</v>
      </c>
      <c r="V582" t="s">
        <v>31</v>
      </c>
    </row>
    <row r="583" spans="1:22" x14ac:dyDescent="0.3">
      <c r="A583" t="s">
        <v>667</v>
      </c>
      <c r="B583" s="1">
        <v>46277</v>
      </c>
      <c r="C583" t="s">
        <v>86</v>
      </c>
      <c r="D583" t="s">
        <v>59</v>
      </c>
      <c r="E583" t="s">
        <v>60</v>
      </c>
      <c r="F583" t="s">
        <v>68</v>
      </c>
      <c r="G583" t="s">
        <v>27</v>
      </c>
      <c r="H583">
        <v>1</v>
      </c>
      <c r="I583" s="3">
        <v>299</v>
      </c>
      <c r="J583" s="4">
        <v>20</v>
      </c>
      <c r="K583" s="3">
        <v>239</v>
      </c>
      <c r="L583" s="3">
        <v>239</v>
      </c>
      <c r="M583" t="s">
        <v>28</v>
      </c>
      <c r="N583" t="s">
        <v>37</v>
      </c>
      <c r="O583" s="3">
        <v>35</v>
      </c>
      <c r="P583" t="s">
        <v>30</v>
      </c>
      <c r="Q583" s="3">
        <v>18.61</v>
      </c>
      <c r="R583" s="3">
        <v>106.96</v>
      </c>
      <c r="S583" s="3">
        <v>78.430000000000007</v>
      </c>
      <c r="T583" s="3">
        <v>239</v>
      </c>
      <c r="U583" s="3">
        <v>37</v>
      </c>
      <c r="V583" t="s">
        <v>87</v>
      </c>
    </row>
    <row r="584" spans="1:22" x14ac:dyDescent="0.3">
      <c r="A584" t="s">
        <v>668</v>
      </c>
      <c r="B584" s="1">
        <v>46229</v>
      </c>
      <c r="C584" t="s">
        <v>45</v>
      </c>
      <c r="D584" t="s">
        <v>63</v>
      </c>
      <c r="E584" t="s">
        <v>47</v>
      </c>
      <c r="F584" t="s">
        <v>42</v>
      </c>
      <c r="G584" t="s">
        <v>27</v>
      </c>
      <c r="H584">
        <v>1</v>
      </c>
      <c r="I584" s="3">
        <v>399</v>
      </c>
      <c r="J584" s="4">
        <v>35</v>
      </c>
      <c r="K584" s="3">
        <v>259</v>
      </c>
      <c r="L584" s="3">
        <v>259</v>
      </c>
      <c r="M584" t="s">
        <v>69</v>
      </c>
      <c r="N584" t="s">
        <v>29</v>
      </c>
      <c r="O584" s="3">
        <v>35</v>
      </c>
      <c r="P584" t="s">
        <v>70</v>
      </c>
      <c r="Q584" s="3">
        <v>14.04</v>
      </c>
      <c r="R584" s="3">
        <v>126.46</v>
      </c>
      <c r="S584" s="3">
        <v>83.5</v>
      </c>
      <c r="T584" s="3">
        <v>259</v>
      </c>
      <c r="U584" s="3">
        <v>30</v>
      </c>
      <c r="V584" t="s">
        <v>50</v>
      </c>
    </row>
    <row r="585" spans="1:22" x14ac:dyDescent="0.3">
      <c r="A585" t="s">
        <v>669</v>
      </c>
      <c r="B585" s="1">
        <v>46251</v>
      </c>
      <c r="C585" t="s">
        <v>67</v>
      </c>
      <c r="D585" t="s">
        <v>112</v>
      </c>
      <c r="E585" t="s">
        <v>47</v>
      </c>
      <c r="F585" t="s">
        <v>68</v>
      </c>
      <c r="G585" t="s">
        <v>27</v>
      </c>
      <c r="H585">
        <v>1</v>
      </c>
      <c r="I585" s="3">
        <v>299</v>
      </c>
      <c r="J585" s="4">
        <v>10</v>
      </c>
      <c r="K585" s="3">
        <v>269</v>
      </c>
      <c r="L585" s="3">
        <v>269</v>
      </c>
      <c r="M585" t="s">
        <v>76</v>
      </c>
      <c r="N585" t="s">
        <v>29</v>
      </c>
      <c r="O585" s="3">
        <v>35</v>
      </c>
      <c r="P585" t="s">
        <v>30</v>
      </c>
      <c r="Q585" s="3">
        <v>10.89</v>
      </c>
      <c r="R585" s="3">
        <v>116.74</v>
      </c>
      <c r="S585" s="3">
        <v>106.37</v>
      </c>
      <c r="T585" s="3">
        <v>269</v>
      </c>
      <c r="U585" s="3">
        <v>34</v>
      </c>
      <c r="V585" t="s">
        <v>71</v>
      </c>
    </row>
    <row r="586" spans="1:22" x14ac:dyDescent="0.3">
      <c r="A586" t="s">
        <v>670</v>
      </c>
      <c r="B586" s="1">
        <v>46088</v>
      </c>
      <c r="C586" t="s">
        <v>39</v>
      </c>
      <c r="D586" t="s">
        <v>40</v>
      </c>
      <c r="E586" t="s">
        <v>41</v>
      </c>
      <c r="F586" t="s">
        <v>55</v>
      </c>
      <c r="G586" t="s">
        <v>56</v>
      </c>
      <c r="H586">
        <v>1</v>
      </c>
      <c r="I586" s="3">
        <v>449</v>
      </c>
      <c r="J586" s="4">
        <v>35</v>
      </c>
      <c r="K586" s="3">
        <v>292</v>
      </c>
      <c r="L586" s="3">
        <v>292</v>
      </c>
      <c r="M586" t="s">
        <v>76</v>
      </c>
      <c r="N586" t="s">
        <v>29</v>
      </c>
      <c r="O586" s="3">
        <v>45</v>
      </c>
      <c r="P586" t="s">
        <v>30</v>
      </c>
      <c r="Q586" s="3">
        <v>14.54</v>
      </c>
      <c r="R586" s="3">
        <v>134.94</v>
      </c>
      <c r="S586" s="3">
        <v>97.52</v>
      </c>
      <c r="T586" s="3">
        <v>292</v>
      </c>
      <c r="U586" s="3">
        <v>10</v>
      </c>
      <c r="V586" t="s">
        <v>43</v>
      </c>
    </row>
    <row r="587" spans="1:22" x14ac:dyDescent="0.3">
      <c r="A587" t="s">
        <v>671</v>
      </c>
      <c r="B587" s="1">
        <v>46097</v>
      </c>
      <c r="C587" t="s">
        <v>39</v>
      </c>
      <c r="D587" t="s">
        <v>33</v>
      </c>
      <c r="E587" t="s">
        <v>34</v>
      </c>
      <c r="F587" t="s">
        <v>79</v>
      </c>
      <c r="G587" t="s">
        <v>80</v>
      </c>
      <c r="H587">
        <v>1</v>
      </c>
      <c r="I587" s="3">
        <v>599</v>
      </c>
      <c r="J587" s="4">
        <v>20</v>
      </c>
      <c r="K587" s="3">
        <v>479</v>
      </c>
      <c r="L587" s="3">
        <v>479</v>
      </c>
      <c r="M587" t="s">
        <v>28</v>
      </c>
      <c r="N587" t="s">
        <v>37</v>
      </c>
      <c r="O587" s="3">
        <v>35</v>
      </c>
      <c r="P587" t="s">
        <v>30</v>
      </c>
      <c r="Q587" s="3">
        <v>24.03</v>
      </c>
      <c r="R587" s="3">
        <v>231.41</v>
      </c>
      <c r="S587" s="3">
        <v>188.56</v>
      </c>
      <c r="T587" s="3">
        <v>479</v>
      </c>
      <c r="U587" s="3">
        <v>12</v>
      </c>
      <c r="V587" t="s">
        <v>43</v>
      </c>
    </row>
    <row r="588" spans="1:22" x14ac:dyDescent="0.3">
      <c r="A588" t="s">
        <v>672</v>
      </c>
      <c r="B588" s="1">
        <v>46125</v>
      </c>
      <c r="C588" t="s">
        <v>23</v>
      </c>
      <c r="D588" t="s">
        <v>40</v>
      </c>
      <c r="E588" t="s">
        <v>41</v>
      </c>
      <c r="F588" t="s">
        <v>35</v>
      </c>
      <c r="G588" t="s">
        <v>36</v>
      </c>
      <c r="H588">
        <v>1</v>
      </c>
      <c r="I588" s="3">
        <v>449</v>
      </c>
      <c r="J588" s="4">
        <v>25</v>
      </c>
      <c r="K588" s="3">
        <v>337</v>
      </c>
      <c r="L588" s="3">
        <v>337</v>
      </c>
      <c r="M588" t="s">
        <v>28</v>
      </c>
      <c r="N588" t="s">
        <v>29</v>
      </c>
      <c r="O588" s="3">
        <v>35</v>
      </c>
      <c r="P588" t="s">
        <v>30</v>
      </c>
      <c r="Q588" s="3">
        <v>20.85</v>
      </c>
      <c r="R588" s="3">
        <v>144.62</v>
      </c>
      <c r="S588" s="3">
        <v>136.53</v>
      </c>
      <c r="T588" s="3">
        <v>337</v>
      </c>
      <c r="U588" s="3">
        <v>16</v>
      </c>
      <c r="V588" t="s">
        <v>31</v>
      </c>
    </row>
    <row r="589" spans="1:22" x14ac:dyDescent="0.3">
      <c r="A589" t="s">
        <v>673</v>
      </c>
      <c r="B589" s="1">
        <v>46214</v>
      </c>
      <c r="C589" t="s">
        <v>45</v>
      </c>
      <c r="D589" t="s">
        <v>112</v>
      </c>
      <c r="E589" t="s">
        <v>47</v>
      </c>
      <c r="F589" t="s">
        <v>35</v>
      </c>
      <c r="G589" t="s">
        <v>36</v>
      </c>
      <c r="H589">
        <v>1</v>
      </c>
      <c r="I589" s="3">
        <v>299</v>
      </c>
      <c r="J589" s="4">
        <v>15</v>
      </c>
      <c r="K589" s="3">
        <v>254</v>
      </c>
      <c r="L589" s="3">
        <v>254</v>
      </c>
      <c r="M589" t="s">
        <v>28</v>
      </c>
      <c r="N589" t="s">
        <v>37</v>
      </c>
      <c r="O589" s="3">
        <v>55</v>
      </c>
      <c r="P589" t="s">
        <v>30</v>
      </c>
      <c r="Q589" s="3">
        <v>14.19</v>
      </c>
      <c r="R589" s="3">
        <v>109.85</v>
      </c>
      <c r="S589" s="3">
        <v>74.959999999999994</v>
      </c>
      <c r="T589" s="3">
        <v>254</v>
      </c>
      <c r="U589" s="3">
        <v>28</v>
      </c>
      <c r="V589" t="s">
        <v>50</v>
      </c>
    </row>
    <row r="590" spans="1:22" x14ac:dyDescent="0.3">
      <c r="A590" t="s">
        <v>674</v>
      </c>
      <c r="B590" s="1">
        <v>46274</v>
      </c>
      <c r="C590" t="s">
        <v>86</v>
      </c>
      <c r="D590" t="s">
        <v>112</v>
      </c>
      <c r="E590" t="s">
        <v>47</v>
      </c>
      <c r="F590" t="s">
        <v>100</v>
      </c>
      <c r="G590" t="s">
        <v>101</v>
      </c>
      <c r="H590">
        <v>1</v>
      </c>
      <c r="I590" s="3">
        <v>299</v>
      </c>
      <c r="J590" s="4">
        <v>15</v>
      </c>
      <c r="K590" s="3">
        <v>254</v>
      </c>
      <c r="L590" s="3">
        <v>254</v>
      </c>
      <c r="M590" t="s">
        <v>28</v>
      </c>
      <c r="N590" t="s">
        <v>37</v>
      </c>
      <c r="O590" s="3">
        <v>65</v>
      </c>
      <c r="P590" t="s">
        <v>30</v>
      </c>
      <c r="Q590" s="3">
        <v>19.98</v>
      </c>
      <c r="R590" s="3">
        <v>117.87</v>
      </c>
      <c r="S590" s="3">
        <v>51.15</v>
      </c>
      <c r="T590" s="3">
        <v>254</v>
      </c>
      <c r="U590" s="3">
        <v>37</v>
      </c>
      <c r="V590" t="s">
        <v>87</v>
      </c>
    </row>
    <row r="591" spans="1:22" x14ac:dyDescent="0.3">
      <c r="A591" t="s">
        <v>675</v>
      </c>
      <c r="B591" s="1">
        <v>46248</v>
      </c>
      <c r="C591" t="s">
        <v>67</v>
      </c>
      <c r="D591" t="s">
        <v>59</v>
      </c>
      <c r="E591" t="s">
        <v>60</v>
      </c>
      <c r="F591" t="s">
        <v>79</v>
      </c>
      <c r="G591" t="s">
        <v>80</v>
      </c>
      <c r="H591">
        <v>2</v>
      </c>
      <c r="I591" s="3">
        <v>299</v>
      </c>
      <c r="J591" s="4">
        <v>25</v>
      </c>
      <c r="K591" s="3">
        <v>224</v>
      </c>
      <c r="L591" s="3">
        <v>448</v>
      </c>
      <c r="M591" t="s">
        <v>28</v>
      </c>
      <c r="N591" t="s">
        <v>37</v>
      </c>
      <c r="O591" s="3">
        <v>65</v>
      </c>
      <c r="P591" t="s">
        <v>30</v>
      </c>
      <c r="Q591" s="3">
        <v>23.01</v>
      </c>
      <c r="R591" s="3">
        <v>219.25</v>
      </c>
      <c r="S591" s="3">
        <v>140.74</v>
      </c>
      <c r="T591" s="3">
        <v>224</v>
      </c>
      <c r="U591" s="3">
        <v>33</v>
      </c>
      <c r="V591" t="s">
        <v>71</v>
      </c>
    </row>
    <row r="592" spans="1:22" x14ac:dyDescent="0.3">
      <c r="A592" t="s">
        <v>676</v>
      </c>
      <c r="B592" s="1">
        <v>46120</v>
      </c>
      <c r="C592" t="s">
        <v>23</v>
      </c>
      <c r="D592" t="s">
        <v>53</v>
      </c>
      <c r="E592" t="s">
        <v>54</v>
      </c>
      <c r="F592" t="s">
        <v>100</v>
      </c>
      <c r="G592" t="s">
        <v>101</v>
      </c>
      <c r="H592">
        <v>1</v>
      </c>
      <c r="I592" s="3">
        <v>499</v>
      </c>
      <c r="J592" s="4">
        <v>10</v>
      </c>
      <c r="K592" s="3">
        <v>449</v>
      </c>
      <c r="L592" s="3">
        <v>449</v>
      </c>
      <c r="M592" t="s">
        <v>28</v>
      </c>
      <c r="N592" t="s">
        <v>37</v>
      </c>
      <c r="O592" s="3">
        <v>35</v>
      </c>
      <c r="P592" t="s">
        <v>30</v>
      </c>
      <c r="Q592" s="3">
        <v>19.86</v>
      </c>
      <c r="R592" s="3">
        <v>225.08</v>
      </c>
      <c r="S592" s="3">
        <v>169.06</v>
      </c>
      <c r="T592" s="3">
        <v>449</v>
      </c>
      <c r="U592" s="3">
        <v>15</v>
      </c>
      <c r="V592" t="s">
        <v>31</v>
      </c>
    </row>
    <row r="593" spans="1:22" x14ac:dyDescent="0.3">
      <c r="A593" t="s">
        <v>677</v>
      </c>
      <c r="B593" s="1">
        <v>46271</v>
      </c>
      <c r="C593" t="s">
        <v>86</v>
      </c>
      <c r="D593" t="s">
        <v>112</v>
      </c>
      <c r="E593" t="s">
        <v>47</v>
      </c>
      <c r="F593" t="s">
        <v>100</v>
      </c>
      <c r="G593" t="s">
        <v>101</v>
      </c>
      <c r="H593">
        <v>2</v>
      </c>
      <c r="I593" s="3">
        <v>299</v>
      </c>
      <c r="J593" s="4">
        <v>25</v>
      </c>
      <c r="K593" s="3">
        <v>224</v>
      </c>
      <c r="L593" s="3">
        <v>448</v>
      </c>
      <c r="M593" t="s">
        <v>64</v>
      </c>
      <c r="N593" t="s">
        <v>29</v>
      </c>
      <c r="O593" s="3">
        <v>65</v>
      </c>
      <c r="P593" t="s">
        <v>30</v>
      </c>
      <c r="Q593" s="3">
        <v>29.98</v>
      </c>
      <c r="R593" s="3">
        <v>210.44</v>
      </c>
      <c r="S593" s="3">
        <v>142.58000000000001</v>
      </c>
      <c r="T593" s="3">
        <v>224</v>
      </c>
      <c r="U593" s="3">
        <v>36</v>
      </c>
      <c r="V593" t="s">
        <v>87</v>
      </c>
    </row>
    <row r="594" spans="1:22" x14ac:dyDescent="0.3">
      <c r="A594" t="s">
        <v>678</v>
      </c>
      <c r="B594" s="1">
        <v>46188</v>
      </c>
      <c r="C594" t="s">
        <v>78</v>
      </c>
      <c r="D594" t="s">
        <v>130</v>
      </c>
      <c r="E594" t="s">
        <v>54</v>
      </c>
      <c r="F594" t="s">
        <v>42</v>
      </c>
      <c r="G594" t="s">
        <v>27</v>
      </c>
      <c r="H594">
        <v>1</v>
      </c>
      <c r="I594" s="3">
        <v>699</v>
      </c>
      <c r="J594" s="4">
        <v>20</v>
      </c>
      <c r="K594" s="3">
        <v>559</v>
      </c>
      <c r="L594" s="3">
        <v>559</v>
      </c>
      <c r="M594" t="s">
        <v>28</v>
      </c>
      <c r="N594" t="s">
        <v>29</v>
      </c>
      <c r="O594" s="3">
        <v>35</v>
      </c>
      <c r="P594" t="s">
        <v>30</v>
      </c>
      <c r="Q594" s="3">
        <v>35.32</v>
      </c>
      <c r="R594" s="3">
        <v>244.09</v>
      </c>
      <c r="S594" s="3">
        <v>244.59</v>
      </c>
      <c r="T594" s="3">
        <v>559</v>
      </c>
      <c r="U594" s="3">
        <v>25</v>
      </c>
      <c r="V594" t="s">
        <v>81</v>
      </c>
    </row>
    <row r="595" spans="1:22" x14ac:dyDescent="0.3">
      <c r="A595" t="s">
        <v>679</v>
      </c>
      <c r="B595" s="1">
        <v>46052</v>
      </c>
      <c r="C595" t="s">
        <v>52</v>
      </c>
      <c r="D595" t="s">
        <v>33</v>
      </c>
      <c r="E595" t="s">
        <v>34</v>
      </c>
      <c r="F595" t="s">
        <v>79</v>
      </c>
      <c r="G595" t="s">
        <v>80</v>
      </c>
      <c r="H595">
        <v>1</v>
      </c>
      <c r="I595" s="3">
        <v>599</v>
      </c>
      <c r="J595" s="4">
        <v>20</v>
      </c>
      <c r="K595" s="3">
        <v>479</v>
      </c>
      <c r="L595" s="3">
        <v>479</v>
      </c>
      <c r="M595" t="s">
        <v>102</v>
      </c>
      <c r="N595" t="s">
        <v>29</v>
      </c>
      <c r="O595" s="3">
        <v>35</v>
      </c>
      <c r="P595" t="s">
        <v>30</v>
      </c>
      <c r="Q595" s="3">
        <v>19.440000000000001</v>
      </c>
      <c r="R595" s="3">
        <v>245.3</v>
      </c>
      <c r="S595" s="3">
        <v>179.26</v>
      </c>
      <c r="T595" s="3">
        <v>479</v>
      </c>
      <c r="U595" s="3">
        <v>5</v>
      </c>
      <c r="V595" t="s">
        <v>57</v>
      </c>
    </row>
    <row r="596" spans="1:22" x14ac:dyDescent="0.3">
      <c r="A596" t="s">
        <v>680</v>
      </c>
      <c r="B596" s="1">
        <v>46269</v>
      </c>
      <c r="C596" t="s">
        <v>86</v>
      </c>
      <c r="D596" t="s">
        <v>130</v>
      </c>
      <c r="E596" t="s">
        <v>54</v>
      </c>
      <c r="F596" t="s">
        <v>79</v>
      </c>
      <c r="G596" t="s">
        <v>80</v>
      </c>
      <c r="H596">
        <v>1</v>
      </c>
      <c r="I596" s="3">
        <v>699</v>
      </c>
      <c r="J596" s="4">
        <v>25</v>
      </c>
      <c r="K596" s="3">
        <v>524</v>
      </c>
      <c r="L596" s="3">
        <v>524</v>
      </c>
      <c r="M596" t="s">
        <v>28</v>
      </c>
      <c r="N596" t="s">
        <v>29</v>
      </c>
      <c r="O596" s="3">
        <v>65</v>
      </c>
      <c r="P596" t="s">
        <v>30</v>
      </c>
      <c r="Q596" s="3">
        <v>32.99</v>
      </c>
      <c r="R596" s="3">
        <v>238.46</v>
      </c>
      <c r="S596" s="3">
        <v>187.55</v>
      </c>
      <c r="T596" s="3">
        <v>524</v>
      </c>
      <c r="U596" s="3">
        <v>36</v>
      </c>
      <c r="V596" t="s">
        <v>87</v>
      </c>
    </row>
    <row r="597" spans="1:22" x14ac:dyDescent="0.3">
      <c r="A597" t="s">
        <v>681</v>
      </c>
      <c r="B597" s="1">
        <v>46128</v>
      </c>
      <c r="C597" t="s">
        <v>23</v>
      </c>
      <c r="D597" t="s">
        <v>24</v>
      </c>
      <c r="E597" t="s">
        <v>25</v>
      </c>
      <c r="F597" t="s">
        <v>84</v>
      </c>
      <c r="G597" t="s">
        <v>84</v>
      </c>
      <c r="H597">
        <v>2</v>
      </c>
      <c r="I597" s="3">
        <v>349</v>
      </c>
      <c r="J597" s="4">
        <v>35</v>
      </c>
      <c r="K597" s="3">
        <v>227</v>
      </c>
      <c r="L597" s="3">
        <v>454</v>
      </c>
      <c r="M597" t="s">
        <v>28</v>
      </c>
      <c r="N597" t="s">
        <v>37</v>
      </c>
      <c r="O597" s="3">
        <v>55</v>
      </c>
      <c r="P597" t="s">
        <v>30</v>
      </c>
      <c r="Q597" s="3">
        <v>23.47</v>
      </c>
      <c r="R597" s="3">
        <v>204.06</v>
      </c>
      <c r="S597" s="3">
        <v>171.47</v>
      </c>
      <c r="T597" s="3">
        <v>227</v>
      </c>
      <c r="U597" s="3">
        <v>16</v>
      </c>
      <c r="V597" t="s">
        <v>31</v>
      </c>
    </row>
    <row r="598" spans="1:22" x14ac:dyDescent="0.3">
      <c r="A598" t="s">
        <v>682</v>
      </c>
      <c r="B598" s="1">
        <v>46073</v>
      </c>
      <c r="C598" t="s">
        <v>95</v>
      </c>
      <c r="D598" t="s">
        <v>115</v>
      </c>
      <c r="E598" t="s">
        <v>116</v>
      </c>
      <c r="F598" t="s">
        <v>55</v>
      </c>
      <c r="G598" t="s">
        <v>56</v>
      </c>
      <c r="H598">
        <v>1</v>
      </c>
      <c r="I598" s="3">
        <v>249</v>
      </c>
      <c r="J598" s="4">
        <v>35</v>
      </c>
      <c r="K598" s="3">
        <v>162</v>
      </c>
      <c r="L598" s="3">
        <v>162</v>
      </c>
      <c r="M598" t="s">
        <v>28</v>
      </c>
      <c r="N598" t="s">
        <v>37</v>
      </c>
      <c r="O598" s="3">
        <v>45</v>
      </c>
      <c r="P598" t="s">
        <v>30</v>
      </c>
      <c r="Q598" s="3">
        <v>7.75</v>
      </c>
      <c r="R598" s="3">
        <v>83.39</v>
      </c>
      <c r="S598" s="3">
        <v>25.86</v>
      </c>
      <c r="T598" s="3">
        <v>162</v>
      </c>
      <c r="U598" s="3">
        <v>8</v>
      </c>
      <c r="V598" t="s">
        <v>96</v>
      </c>
    </row>
    <row r="599" spans="1:22" x14ac:dyDescent="0.3">
      <c r="A599" t="s">
        <v>683</v>
      </c>
      <c r="B599" s="1">
        <v>46103</v>
      </c>
      <c r="C599" t="s">
        <v>39</v>
      </c>
      <c r="D599" t="s">
        <v>115</v>
      </c>
      <c r="E599" t="s">
        <v>116</v>
      </c>
      <c r="F599" t="s">
        <v>35</v>
      </c>
      <c r="G599" t="s">
        <v>36</v>
      </c>
      <c r="H599">
        <v>1</v>
      </c>
      <c r="I599" s="3">
        <v>249</v>
      </c>
      <c r="J599" s="4">
        <v>25</v>
      </c>
      <c r="K599" s="3">
        <v>187</v>
      </c>
      <c r="L599" s="3">
        <v>187</v>
      </c>
      <c r="M599" t="s">
        <v>28</v>
      </c>
      <c r="N599" t="s">
        <v>37</v>
      </c>
      <c r="O599" s="3">
        <v>35</v>
      </c>
      <c r="P599" t="s">
        <v>30</v>
      </c>
      <c r="Q599" s="3">
        <v>9.74</v>
      </c>
      <c r="R599" s="3">
        <v>82.06</v>
      </c>
      <c r="S599" s="3">
        <v>60.2</v>
      </c>
      <c r="T599" s="3">
        <v>187</v>
      </c>
      <c r="U599" s="3">
        <v>12</v>
      </c>
      <c r="V599" t="s">
        <v>43</v>
      </c>
    </row>
    <row r="600" spans="1:22" x14ac:dyDescent="0.3">
      <c r="A600" t="s">
        <v>684</v>
      </c>
      <c r="B600" s="1">
        <v>46155</v>
      </c>
      <c r="C600" t="s">
        <v>62</v>
      </c>
      <c r="D600" t="s">
        <v>112</v>
      </c>
      <c r="E600" t="s">
        <v>47</v>
      </c>
      <c r="F600" t="s">
        <v>35</v>
      </c>
      <c r="G600" t="s">
        <v>36</v>
      </c>
      <c r="H600">
        <v>1</v>
      </c>
      <c r="I600" s="3">
        <v>299</v>
      </c>
      <c r="J600" s="4">
        <v>10</v>
      </c>
      <c r="K600" s="3">
        <v>269</v>
      </c>
      <c r="L600" s="3">
        <v>269</v>
      </c>
      <c r="M600" t="s">
        <v>28</v>
      </c>
      <c r="N600" t="s">
        <v>37</v>
      </c>
      <c r="O600" s="3">
        <v>35</v>
      </c>
      <c r="P600" t="s">
        <v>30</v>
      </c>
      <c r="Q600" s="3">
        <v>11.91</v>
      </c>
      <c r="R600" s="3">
        <v>124.37</v>
      </c>
      <c r="S600" s="3">
        <v>97.72</v>
      </c>
      <c r="T600" s="3">
        <v>269</v>
      </c>
      <c r="U600" s="3">
        <v>20</v>
      </c>
      <c r="V600" t="s">
        <v>65</v>
      </c>
    </row>
    <row r="601" spans="1:22" x14ac:dyDescent="0.3">
      <c r="A601" t="s">
        <v>685</v>
      </c>
      <c r="B601" s="1">
        <v>46160</v>
      </c>
      <c r="C601" t="s">
        <v>62</v>
      </c>
      <c r="D601" t="s">
        <v>130</v>
      </c>
      <c r="E601" t="s">
        <v>54</v>
      </c>
      <c r="F601" t="s">
        <v>100</v>
      </c>
      <c r="G601" t="s">
        <v>101</v>
      </c>
      <c r="H601">
        <v>1</v>
      </c>
      <c r="I601" s="3">
        <v>699</v>
      </c>
      <c r="J601" s="4">
        <v>10</v>
      </c>
      <c r="K601" s="3">
        <v>629</v>
      </c>
      <c r="L601" s="3">
        <v>629</v>
      </c>
      <c r="M601" t="s">
        <v>69</v>
      </c>
      <c r="N601" t="s">
        <v>37</v>
      </c>
      <c r="O601" s="3">
        <v>35</v>
      </c>
      <c r="P601" t="s">
        <v>70</v>
      </c>
      <c r="Q601" s="3">
        <v>29.31</v>
      </c>
      <c r="R601" s="3">
        <v>272.02</v>
      </c>
      <c r="S601" s="3">
        <v>292.67</v>
      </c>
      <c r="T601" s="3">
        <v>629</v>
      </c>
      <c r="U601" s="3">
        <v>21</v>
      </c>
      <c r="V601" t="s">
        <v>65</v>
      </c>
    </row>
    <row r="602" spans="1:22" x14ac:dyDescent="0.3">
      <c r="A602" t="s">
        <v>686</v>
      </c>
      <c r="B602" s="1">
        <v>46206</v>
      </c>
      <c r="C602" t="s">
        <v>45</v>
      </c>
      <c r="D602" t="s">
        <v>46</v>
      </c>
      <c r="E602" t="s">
        <v>47</v>
      </c>
      <c r="F602" t="s">
        <v>100</v>
      </c>
      <c r="G602" t="s">
        <v>101</v>
      </c>
      <c r="H602">
        <v>1</v>
      </c>
      <c r="I602" s="3">
        <v>899</v>
      </c>
      <c r="J602" s="4">
        <v>5</v>
      </c>
      <c r="K602" s="3">
        <v>854</v>
      </c>
      <c r="L602" s="3">
        <v>854</v>
      </c>
      <c r="M602" t="s">
        <v>28</v>
      </c>
      <c r="N602" t="s">
        <v>29</v>
      </c>
      <c r="O602" s="3">
        <v>35</v>
      </c>
      <c r="P602" t="s">
        <v>30</v>
      </c>
      <c r="Q602" s="3">
        <v>35.49</v>
      </c>
      <c r="R602" s="3">
        <v>397.59</v>
      </c>
      <c r="S602" s="3">
        <v>385.92</v>
      </c>
      <c r="T602" s="3">
        <v>854</v>
      </c>
      <c r="U602" s="3">
        <v>27</v>
      </c>
      <c r="V602" t="s">
        <v>50</v>
      </c>
    </row>
    <row r="603" spans="1:22" x14ac:dyDescent="0.3">
      <c r="A603" t="s">
        <v>687</v>
      </c>
      <c r="B603" s="1">
        <v>46091</v>
      </c>
      <c r="C603" t="s">
        <v>39</v>
      </c>
      <c r="D603" t="s">
        <v>74</v>
      </c>
      <c r="E603" t="s">
        <v>75</v>
      </c>
      <c r="F603" t="s">
        <v>48</v>
      </c>
      <c r="G603" t="s">
        <v>49</v>
      </c>
      <c r="H603">
        <v>1</v>
      </c>
      <c r="I603" s="3">
        <v>549</v>
      </c>
      <c r="J603" s="4">
        <v>15</v>
      </c>
      <c r="K603" s="3">
        <v>467</v>
      </c>
      <c r="L603" s="3">
        <v>467</v>
      </c>
      <c r="M603" t="s">
        <v>28</v>
      </c>
      <c r="N603" t="s">
        <v>29</v>
      </c>
      <c r="O603" s="3">
        <v>65</v>
      </c>
      <c r="P603" t="s">
        <v>30</v>
      </c>
      <c r="Q603" s="3">
        <v>31.28</v>
      </c>
      <c r="R603" s="3">
        <v>241.9</v>
      </c>
      <c r="S603" s="3">
        <v>128.82</v>
      </c>
      <c r="T603" s="3">
        <v>467</v>
      </c>
      <c r="U603" s="3">
        <v>11</v>
      </c>
      <c r="V603" t="s">
        <v>43</v>
      </c>
    </row>
    <row r="604" spans="1:22" x14ac:dyDescent="0.3">
      <c r="A604" t="s">
        <v>688</v>
      </c>
      <c r="B604" s="1">
        <v>46056</v>
      </c>
      <c r="C604" t="s">
        <v>95</v>
      </c>
      <c r="D604" t="s">
        <v>115</v>
      </c>
      <c r="E604" t="s">
        <v>116</v>
      </c>
      <c r="F604" t="s">
        <v>68</v>
      </c>
      <c r="G604" t="s">
        <v>27</v>
      </c>
      <c r="H604">
        <v>1</v>
      </c>
      <c r="I604" s="3">
        <v>249</v>
      </c>
      <c r="J604" s="4">
        <v>30</v>
      </c>
      <c r="K604" s="3">
        <v>174</v>
      </c>
      <c r="L604" s="3">
        <v>174</v>
      </c>
      <c r="M604" t="s">
        <v>28</v>
      </c>
      <c r="N604" t="s">
        <v>37</v>
      </c>
      <c r="O604" s="3">
        <v>55</v>
      </c>
      <c r="P604" t="s">
        <v>30</v>
      </c>
      <c r="Q604" s="3">
        <v>12.93</v>
      </c>
      <c r="R604" s="3">
        <v>87.3</v>
      </c>
      <c r="S604" s="3">
        <v>18.77</v>
      </c>
      <c r="T604" s="3">
        <v>174</v>
      </c>
      <c r="U604" s="3">
        <v>6</v>
      </c>
      <c r="V604" t="s">
        <v>96</v>
      </c>
    </row>
    <row r="605" spans="1:22" x14ac:dyDescent="0.3">
      <c r="A605" t="s">
        <v>689</v>
      </c>
      <c r="B605" s="1">
        <v>46284</v>
      </c>
      <c r="C605" t="s">
        <v>86</v>
      </c>
      <c r="D605" t="s">
        <v>115</v>
      </c>
      <c r="E605" t="s">
        <v>116</v>
      </c>
      <c r="F605" t="s">
        <v>55</v>
      </c>
      <c r="G605" t="s">
        <v>56</v>
      </c>
      <c r="H605">
        <v>1</v>
      </c>
      <c r="I605" s="3">
        <v>249</v>
      </c>
      <c r="J605" s="4">
        <v>25</v>
      </c>
      <c r="K605" s="3">
        <v>187</v>
      </c>
      <c r="L605" s="3">
        <v>187</v>
      </c>
      <c r="M605" t="s">
        <v>28</v>
      </c>
      <c r="N605" t="s">
        <v>29</v>
      </c>
      <c r="O605" s="3">
        <v>65</v>
      </c>
      <c r="P605" t="s">
        <v>30</v>
      </c>
      <c r="Q605" s="3">
        <v>14.52</v>
      </c>
      <c r="R605" s="3">
        <v>81.81</v>
      </c>
      <c r="S605" s="3">
        <v>25.67</v>
      </c>
      <c r="T605" s="3">
        <v>187</v>
      </c>
      <c r="U605" s="3">
        <v>38</v>
      </c>
      <c r="V605" t="s">
        <v>87</v>
      </c>
    </row>
    <row r="606" spans="1:22" x14ac:dyDescent="0.3">
      <c r="A606" t="s">
        <v>690</v>
      </c>
      <c r="B606" s="1">
        <v>46075</v>
      </c>
      <c r="C606" t="s">
        <v>95</v>
      </c>
      <c r="D606" t="s">
        <v>53</v>
      </c>
      <c r="E606" t="s">
        <v>54</v>
      </c>
      <c r="F606" t="s">
        <v>42</v>
      </c>
      <c r="G606" t="s">
        <v>27</v>
      </c>
      <c r="H606">
        <v>1</v>
      </c>
      <c r="I606" s="3">
        <v>499</v>
      </c>
      <c r="J606" s="4">
        <v>10</v>
      </c>
      <c r="K606" s="3">
        <v>449</v>
      </c>
      <c r="L606" s="3">
        <v>449</v>
      </c>
      <c r="M606" t="s">
        <v>28</v>
      </c>
      <c r="N606" t="s">
        <v>37</v>
      </c>
      <c r="O606" s="3">
        <v>35</v>
      </c>
      <c r="P606" t="s">
        <v>30</v>
      </c>
      <c r="Q606" s="3">
        <v>18.03</v>
      </c>
      <c r="R606" s="3">
        <v>195.88</v>
      </c>
      <c r="S606" s="3">
        <v>200.09</v>
      </c>
      <c r="T606" s="3">
        <v>449</v>
      </c>
      <c r="U606" s="3">
        <v>8</v>
      </c>
      <c r="V606" t="s">
        <v>96</v>
      </c>
    </row>
    <row r="607" spans="1:22" x14ac:dyDescent="0.3">
      <c r="A607" t="s">
        <v>691</v>
      </c>
      <c r="B607" s="1">
        <v>46227</v>
      </c>
      <c r="C607" t="s">
        <v>45</v>
      </c>
      <c r="D607" t="s">
        <v>112</v>
      </c>
      <c r="E607" t="s">
        <v>47</v>
      </c>
      <c r="F607" t="s">
        <v>79</v>
      </c>
      <c r="G607" t="s">
        <v>80</v>
      </c>
      <c r="H607">
        <v>2</v>
      </c>
      <c r="I607" s="3">
        <v>299</v>
      </c>
      <c r="J607" s="4">
        <v>25</v>
      </c>
      <c r="K607" s="3">
        <v>224</v>
      </c>
      <c r="L607" s="3">
        <v>448</v>
      </c>
      <c r="M607" t="s">
        <v>28</v>
      </c>
      <c r="N607" t="s">
        <v>37</v>
      </c>
      <c r="O607" s="3">
        <v>45</v>
      </c>
      <c r="P607" t="s">
        <v>30</v>
      </c>
      <c r="Q607" s="3">
        <v>20.54</v>
      </c>
      <c r="R607" s="3">
        <v>225.03</v>
      </c>
      <c r="S607" s="3">
        <v>157.43</v>
      </c>
      <c r="T607" s="3">
        <v>224</v>
      </c>
      <c r="U607" s="3">
        <v>30</v>
      </c>
      <c r="V607" t="s">
        <v>50</v>
      </c>
    </row>
    <row r="608" spans="1:22" x14ac:dyDescent="0.3">
      <c r="A608" t="s">
        <v>692</v>
      </c>
      <c r="B608" s="1">
        <v>46148</v>
      </c>
      <c r="C608" t="s">
        <v>62</v>
      </c>
      <c r="D608" t="s">
        <v>74</v>
      </c>
      <c r="E608" t="s">
        <v>75</v>
      </c>
      <c r="F608" t="s">
        <v>84</v>
      </c>
      <c r="G608" t="s">
        <v>84</v>
      </c>
      <c r="H608">
        <v>2</v>
      </c>
      <c r="I608" s="3">
        <v>549</v>
      </c>
      <c r="J608" s="4">
        <v>10</v>
      </c>
      <c r="K608" s="3">
        <v>494</v>
      </c>
      <c r="L608" s="3">
        <v>988</v>
      </c>
      <c r="M608" t="s">
        <v>28</v>
      </c>
      <c r="N608" t="s">
        <v>29</v>
      </c>
      <c r="O608" s="3">
        <v>45</v>
      </c>
      <c r="P608" t="s">
        <v>30</v>
      </c>
      <c r="Q608" s="3">
        <v>75.47</v>
      </c>
      <c r="R608" s="3">
        <v>441.6</v>
      </c>
      <c r="S608" s="3">
        <v>425.93</v>
      </c>
      <c r="T608" s="3">
        <v>494</v>
      </c>
      <c r="U608" s="3">
        <v>19</v>
      </c>
      <c r="V608" t="s">
        <v>65</v>
      </c>
    </row>
    <row r="609" spans="1:22" x14ac:dyDescent="0.3">
      <c r="A609" t="s">
        <v>693</v>
      </c>
      <c r="B609" s="1">
        <v>46257</v>
      </c>
      <c r="C609" t="s">
        <v>67</v>
      </c>
      <c r="D609" t="s">
        <v>53</v>
      </c>
      <c r="E609" t="s">
        <v>54</v>
      </c>
      <c r="F609" t="s">
        <v>48</v>
      </c>
      <c r="G609" t="s">
        <v>49</v>
      </c>
      <c r="H609">
        <v>1</v>
      </c>
      <c r="I609" s="3">
        <v>499</v>
      </c>
      <c r="J609" s="4">
        <v>15</v>
      </c>
      <c r="K609" s="3">
        <v>424</v>
      </c>
      <c r="L609" s="3">
        <v>424</v>
      </c>
      <c r="M609" t="s">
        <v>76</v>
      </c>
      <c r="N609" t="s">
        <v>29</v>
      </c>
      <c r="O609" s="3">
        <v>65</v>
      </c>
      <c r="P609" t="s">
        <v>30</v>
      </c>
      <c r="Q609" s="3">
        <v>20.98</v>
      </c>
      <c r="R609" s="3">
        <v>181.64</v>
      </c>
      <c r="S609" s="3">
        <v>156.38</v>
      </c>
      <c r="T609" s="3">
        <v>424</v>
      </c>
      <c r="U609" s="3">
        <v>34</v>
      </c>
      <c r="V609" t="s">
        <v>71</v>
      </c>
    </row>
    <row r="610" spans="1:22" x14ac:dyDescent="0.3">
      <c r="A610" t="s">
        <v>694</v>
      </c>
      <c r="B610" s="1">
        <v>46065</v>
      </c>
      <c r="C610" t="s">
        <v>95</v>
      </c>
      <c r="D610" t="s">
        <v>63</v>
      </c>
      <c r="E610" t="s">
        <v>47</v>
      </c>
      <c r="F610" t="s">
        <v>109</v>
      </c>
      <c r="G610" t="s">
        <v>110</v>
      </c>
      <c r="H610">
        <v>3</v>
      </c>
      <c r="I610" s="3">
        <v>399</v>
      </c>
      <c r="J610" s="4">
        <v>15</v>
      </c>
      <c r="K610" s="3">
        <v>339</v>
      </c>
      <c r="L610" s="3">
        <v>1017</v>
      </c>
      <c r="M610" t="s">
        <v>28</v>
      </c>
      <c r="N610" t="s">
        <v>37</v>
      </c>
      <c r="O610" s="3">
        <v>35</v>
      </c>
      <c r="P610" t="s">
        <v>30</v>
      </c>
      <c r="Q610" s="3">
        <v>52.86</v>
      </c>
      <c r="R610" s="3">
        <v>437.33</v>
      </c>
      <c r="S610" s="3">
        <v>491.81</v>
      </c>
      <c r="T610" s="3">
        <v>339</v>
      </c>
      <c r="U610" s="3">
        <v>7</v>
      </c>
      <c r="V610" t="s">
        <v>96</v>
      </c>
    </row>
    <row r="611" spans="1:22" x14ac:dyDescent="0.3">
      <c r="A611" t="s">
        <v>695</v>
      </c>
      <c r="B611" s="1">
        <v>46262</v>
      </c>
      <c r="C611" t="s">
        <v>67</v>
      </c>
      <c r="D611" t="s">
        <v>74</v>
      </c>
      <c r="E611" t="s">
        <v>75</v>
      </c>
      <c r="F611" t="s">
        <v>68</v>
      </c>
      <c r="G611" t="s">
        <v>27</v>
      </c>
      <c r="H611">
        <v>1</v>
      </c>
      <c r="I611" s="3">
        <v>549</v>
      </c>
      <c r="J611" s="4">
        <v>10</v>
      </c>
      <c r="K611" s="3">
        <v>494</v>
      </c>
      <c r="L611" s="3">
        <v>494</v>
      </c>
      <c r="M611" t="s">
        <v>28</v>
      </c>
      <c r="N611" t="s">
        <v>29</v>
      </c>
      <c r="O611" s="3">
        <v>45</v>
      </c>
      <c r="P611" t="s">
        <v>30</v>
      </c>
      <c r="Q611" s="3">
        <v>28.04</v>
      </c>
      <c r="R611" s="3">
        <v>232.9</v>
      </c>
      <c r="S611" s="3">
        <v>188.06</v>
      </c>
      <c r="T611" s="3">
        <v>494</v>
      </c>
      <c r="U611" s="3">
        <v>35</v>
      </c>
      <c r="V611" t="s">
        <v>71</v>
      </c>
    </row>
    <row r="612" spans="1:22" x14ac:dyDescent="0.3">
      <c r="A612" t="s">
        <v>696</v>
      </c>
      <c r="B612" s="1">
        <v>46133</v>
      </c>
      <c r="C612" t="s">
        <v>23</v>
      </c>
      <c r="D612" t="s">
        <v>115</v>
      </c>
      <c r="E612" t="s">
        <v>116</v>
      </c>
      <c r="F612" t="s">
        <v>84</v>
      </c>
      <c r="G612" t="s">
        <v>84</v>
      </c>
      <c r="H612">
        <v>2</v>
      </c>
      <c r="I612" s="3">
        <v>249</v>
      </c>
      <c r="J612" s="4">
        <v>15</v>
      </c>
      <c r="K612" s="3">
        <v>212</v>
      </c>
      <c r="L612" s="3">
        <v>424</v>
      </c>
      <c r="M612" t="s">
        <v>28</v>
      </c>
      <c r="N612" t="s">
        <v>29</v>
      </c>
      <c r="O612" s="3">
        <v>35</v>
      </c>
      <c r="P612" t="s">
        <v>30</v>
      </c>
      <c r="Q612" s="3">
        <v>28.12</v>
      </c>
      <c r="R612" s="3">
        <v>208.93</v>
      </c>
      <c r="S612" s="3">
        <v>151.94999999999999</v>
      </c>
      <c r="T612" s="3">
        <v>212</v>
      </c>
      <c r="U612" s="3">
        <v>17</v>
      </c>
      <c r="V612" t="s">
        <v>31</v>
      </c>
    </row>
    <row r="613" spans="1:22" x14ac:dyDescent="0.3">
      <c r="A613" t="s">
        <v>697</v>
      </c>
      <c r="B613" s="1">
        <v>46271</v>
      </c>
      <c r="C613" t="s">
        <v>86</v>
      </c>
      <c r="D613" t="s">
        <v>46</v>
      </c>
      <c r="E613" t="s">
        <v>47</v>
      </c>
      <c r="F613" t="s">
        <v>100</v>
      </c>
      <c r="G613" t="s">
        <v>101</v>
      </c>
      <c r="H613">
        <v>1</v>
      </c>
      <c r="I613" s="3">
        <v>899</v>
      </c>
      <c r="J613" s="4">
        <v>25</v>
      </c>
      <c r="K613" s="3">
        <v>674</v>
      </c>
      <c r="L613" s="3">
        <v>674</v>
      </c>
      <c r="M613" t="s">
        <v>76</v>
      </c>
      <c r="N613" t="s">
        <v>37</v>
      </c>
      <c r="O613" s="3">
        <v>55</v>
      </c>
      <c r="P613" t="s">
        <v>30</v>
      </c>
      <c r="Q613" s="3">
        <v>36.69</v>
      </c>
      <c r="R613" s="3">
        <v>333.82</v>
      </c>
      <c r="S613" s="3">
        <v>248.49</v>
      </c>
      <c r="T613" s="3">
        <v>674</v>
      </c>
      <c r="U613" s="3">
        <v>36</v>
      </c>
      <c r="V613" t="s">
        <v>87</v>
      </c>
    </row>
    <row r="614" spans="1:22" x14ac:dyDescent="0.3">
      <c r="A614" t="s">
        <v>698</v>
      </c>
      <c r="B614" s="1">
        <v>46173</v>
      </c>
      <c r="C614" t="s">
        <v>62</v>
      </c>
      <c r="D614" t="s">
        <v>112</v>
      </c>
      <c r="E614" t="s">
        <v>47</v>
      </c>
      <c r="F614" t="s">
        <v>109</v>
      </c>
      <c r="G614" t="s">
        <v>110</v>
      </c>
      <c r="H614">
        <v>1</v>
      </c>
      <c r="I614" s="3">
        <v>299</v>
      </c>
      <c r="J614" s="4">
        <v>40</v>
      </c>
      <c r="K614" s="3">
        <v>179</v>
      </c>
      <c r="L614" s="3">
        <v>179</v>
      </c>
      <c r="M614" t="s">
        <v>28</v>
      </c>
      <c r="N614" t="s">
        <v>37</v>
      </c>
      <c r="O614" s="3">
        <v>45</v>
      </c>
      <c r="P614" t="s">
        <v>30</v>
      </c>
      <c r="Q614" s="3">
        <v>13.31</v>
      </c>
      <c r="R614" s="3">
        <v>81.349999999999994</v>
      </c>
      <c r="S614" s="3">
        <v>39.340000000000003</v>
      </c>
      <c r="T614" s="3">
        <v>179</v>
      </c>
      <c r="U614" s="3">
        <v>22</v>
      </c>
      <c r="V614" t="s">
        <v>65</v>
      </c>
    </row>
    <row r="615" spans="1:22" x14ac:dyDescent="0.3">
      <c r="A615" t="s">
        <v>699</v>
      </c>
      <c r="B615" s="1">
        <v>46205</v>
      </c>
      <c r="C615" t="s">
        <v>45</v>
      </c>
      <c r="D615" t="s">
        <v>93</v>
      </c>
      <c r="E615" t="s">
        <v>47</v>
      </c>
      <c r="F615" t="s">
        <v>68</v>
      </c>
      <c r="G615" t="s">
        <v>27</v>
      </c>
      <c r="H615">
        <v>2</v>
      </c>
      <c r="I615" s="3">
        <v>699</v>
      </c>
      <c r="J615" s="4">
        <v>25</v>
      </c>
      <c r="K615" s="3">
        <v>524</v>
      </c>
      <c r="L615" s="3">
        <v>1048</v>
      </c>
      <c r="M615" t="s">
        <v>28</v>
      </c>
      <c r="N615" t="s">
        <v>37</v>
      </c>
      <c r="O615" s="3">
        <v>45</v>
      </c>
      <c r="P615" t="s">
        <v>30</v>
      </c>
      <c r="Q615" s="3">
        <v>59.42</v>
      </c>
      <c r="R615" s="3">
        <v>455.28</v>
      </c>
      <c r="S615" s="3">
        <v>488.3</v>
      </c>
      <c r="T615" s="3">
        <v>524</v>
      </c>
      <c r="U615" s="3">
        <v>27</v>
      </c>
      <c r="V615" t="s">
        <v>50</v>
      </c>
    </row>
    <row r="616" spans="1:22" x14ac:dyDescent="0.3">
      <c r="A616" t="s">
        <v>700</v>
      </c>
      <c r="B616" s="1">
        <v>46117</v>
      </c>
      <c r="C616" t="s">
        <v>23</v>
      </c>
      <c r="D616" t="s">
        <v>59</v>
      </c>
      <c r="E616" t="s">
        <v>60</v>
      </c>
      <c r="F616" t="s">
        <v>109</v>
      </c>
      <c r="G616" t="s">
        <v>110</v>
      </c>
      <c r="H616">
        <v>1</v>
      </c>
      <c r="I616" s="3">
        <v>299</v>
      </c>
      <c r="J616" s="4">
        <v>20</v>
      </c>
      <c r="K616" s="3">
        <v>239</v>
      </c>
      <c r="L616" s="3">
        <v>239</v>
      </c>
      <c r="M616" t="s">
        <v>28</v>
      </c>
      <c r="N616" t="s">
        <v>37</v>
      </c>
      <c r="O616" s="3">
        <v>35</v>
      </c>
      <c r="P616" t="s">
        <v>30</v>
      </c>
      <c r="Q616" s="3">
        <v>12.62</v>
      </c>
      <c r="R616" s="3">
        <v>112.47</v>
      </c>
      <c r="S616" s="3">
        <v>78.91</v>
      </c>
      <c r="T616" s="3">
        <v>239</v>
      </c>
      <c r="U616" s="3">
        <v>14</v>
      </c>
      <c r="V616" t="s">
        <v>31</v>
      </c>
    </row>
    <row r="617" spans="1:22" x14ac:dyDescent="0.3">
      <c r="A617" t="s">
        <v>701</v>
      </c>
      <c r="B617" s="1">
        <v>46030</v>
      </c>
      <c r="C617" t="s">
        <v>52</v>
      </c>
      <c r="D617" t="s">
        <v>53</v>
      </c>
      <c r="E617" t="s">
        <v>54</v>
      </c>
      <c r="F617" t="s">
        <v>84</v>
      </c>
      <c r="G617" t="s">
        <v>84</v>
      </c>
      <c r="H617">
        <v>2</v>
      </c>
      <c r="I617" s="3">
        <v>499</v>
      </c>
      <c r="J617" s="4">
        <v>35</v>
      </c>
      <c r="K617" s="3">
        <v>324</v>
      </c>
      <c r="L617" s="3">
        <v>648</v>
      </c>
      <c r="M617" t="s">
        <v>28</v>
      </c>
      <c r="N617" t="s">
        <v>29</v>
      </c>
      <c r="O617" s="3">
        <v>55</v>
      </c>
      <c r="P617" t="s">
        <v>30</v>
      </c>
      <c r="Q617" s="3">
        <v>26.42</v>
      </c>
      <c r="R617" s="3">
        <v>316.86</v>
      </c>
      <c r="S617" s="3">
        <v>249.72</v>
      </c>
      <c r="T617" s="3">
        <v>324</v>
      </c>
      <c r="U617" s="3">
        <v>2</v>
      </c>
      <c r="V617" t="s">
        <v>57</v>
      </c>
    </row>
    <row r="618" spans="1:22" x14ac:dyDescent="0.3">
      <c r="A618" t="s">
        <v>702</v>
      </c>
      <c r="B618" s="1">
        <v>46206</v>
      </c>
      <c r="C618" t="s">
        <v>45</v>
      </c>
      <c r="D618" t="s">
        <v>24</v>
      </c>
      <c r="E618" t="s">
        <v>25</v>
      </c>
      <c r="F618" t="s">
        <v>84</v>
      </c>
      <c r="G618" t="s">
        <v>84</v>
      </c>
      <c r="H618">
        <v>1</v>
      </c>
      <c r="I618" s="3">
        <v>349</v>
      </c>
      <c r="J618" s="4">
        <v>5</v>
      </c>
      <c r="K618" s="3">
        <v>332</v>
      </c>
      <c r="L618" s="3">
        <v>332</v>
      </c>
      <c r="M618" t="s">
        <v>28</v>
      </c>
      <c r="N618" t="s">
        <v>37</v>
      </c>
      <c r="O618" s="3">
        <v>35</v>
      </c>
      <c r="P618" t="s">
        <v>30</v>
      </c>
      <c r="Q618" s="3">
        <v>15.21</v>
      </c>
      <c r="R618" s="3">
        <v>168.59</v>
      </c>
      <c r="S618" s="3">
        <v>113.2</v>
      </c>
      <c r="T618" s="3">
        <v>332</v>
      </c>
      <c r="U618" s="3">
        <v>27</v>
      </c>
      <c r="V618" t="s">
        <v>50</v>
      </c>
    </row>
    <row r="619" spans="1:22" x14ac:dyDescent="0.3">
      <c r="A619" t="s">
        <v>703</v>
      </c>
      <c r="B619" s="1">
        <v>46217</v>
      </c>
      <c r="C619" t="s">
        <v>45</v>
      </c>
      <c r="D619" t="s">
        <v>115</v>
      </c>
      <c r="E619" t="s">
        <v>116</v>
      </c>
      <c r="F619" t="s">
        <v>55</v>
      </c>
      <c r="G619" t="s">
        <v>56</v>
      </c>
      <c r="H619">
        <v>1</v>
      </c>
      <c r="I619" s="3">
        <v>249</v>
      </c>
      <c r="J619" s="4">
        <v>15</v>
      </c>
      <c r="K619" s="3">
        <v>212</v>
      </c>
      <c r="L619" s="3">
        <v>212</v>
      </c>
      <c r="M619" t="s">
        <v>28</v>
      </c>
      <c r="N619" t="s">
        <v>29</v>
      </c>
      <c r="O619" s="3">
        <v>65</v>
      </c>
      <c r="P619" t="s">
        <v>30</v>
      </c>
      <c r="Q619" s="3">
        <v>9.07</v>
      </c>
      <c r="R619" s="3">
        <v>101.3</v>
      </c>
      <c r="S619" s="3">
        <v>36.630000000000003</v>
      </c>
      <c r="T619" s="3">
        <v>212</v>
      </c>
      <c r="U619" s="3">
        <v>29</v>
      </c>
      <c r="V619" t="s">
        <v>50</v>
      </c>
    </row>
    <row r="620" spans="1:22" x14ac:dyDescent="0.3">
      <c r="A620" t="s">
        <v>704</v>
      </c>
      <c r="B620" s="1">
        <v>46217</v>
      </c>
      <c r="C620" t="s">
        <v>45</v>
      </c>
      <c r="D620" t="s">
        <v>59</v>
      </c>
      <c r="E620" t="s">
        <v>60</v>
      </c>
      <c r="F620" t="s">
        <v>42</v>
      </c>
      <c r="G620" t="s">
        <v>27</v>
      </c>
      <c r="H620">
        <v>1</v>
      </c>
      <c r="I620" s="3">
        <v>299</v>
      </c>
      <c r="J620" s="4">
        <v>5</v>
      </c>
      <c r="K620" s="3">
        <v>284</v>
      </c>
      <c r="L620" s="3">
        <v>284</v>
      </c>
      <c r="M620" t="s">
        <v>76</v>
      </c>
      <c r="N620" t="s">
        <v>29</v>
      </c>
      <c r="O620" s="3">
        <v>35</v>
      </c>
      <c r="P620" t="s">
        <v>30</v>
      </c>
      <c r="Q620" s="3">
        <v>18.48</v>
      </c>
      <c r="R620" s="3">
        <v>129.47</v>
      </c>
      <c r="S620" s="3">
        <v>101.05</v>
      </c>
      <c r="T620" s="3">
        <v>284</v>
      </c>
      <c r="U620" s="3">
        <v>29</v>
      </c>
      <c r="V620" t="s">
        <v>50</v>
      </c>
    </row>
    <row r="621" spans="1:22" x14ac:dyDescent="0.3">
      <c r="A621" t="s">
        <v>705</v>
      </c>
      <c r="B621" s="1">
        <v>46177</v>
      </c>
      <c r="C621" t="s">
        <v>78</v>
      </c>
      <c r="D621" t="s">
        <v>24</v>
      </c>
      <c r="E621" t="s">
        <v>25</v>
      </c>
      <c r="F621" t="s">
        <v>42</v>
      </c>
      <c r="G621" t="s">
        <v>27</v>
      </c>
      <c r="H621">
        <v>1</v>
      </c>
      <c r="I621" s="3">
        <v>349</v>
      </c>
      <c r="J621" s="4">
        <v>15</v>
      </c>
      <c r="K621" s="3">
        <v>297</v>
      </c>
      <c r="L621" s="3">
        <v>297</v>
      </c>
      <c r="M621" t="s">
        <v>64</v>
      </c>
      <c r="N621" t="s">
        <v>29</v>
      </c>
      <c r="O621" s="3">
        <v>45</v>
      </c>
      <c r="P621" t="s">
        <v>30</v>
      </c>
      <c r="Q621" s="3">
        <v>17.239999999999998</v>
      </c>
      <c r="R621" s="3">
        <v>146.09</v>
      </c>
      <c r="S621" s="3">
        <v>88.67</v>
      </c>
      <c r="T621" s="3">
        <v>297</v>
      </c>
      <c r="U621" s="3">
        <v>23</v>
      </c>
      <c r="V621" t="s">
        <v>81</v>
      </c>
    </row>
    <row r="622" spans="1:22" x14ac:dyDescent="0.3">
      <c r="A622" t="s">
        <v>706</v>
      </c>
      <c r="B622" s="1">
        <v>46115</v>
      </c>
      <c r="C622" t="s">
        <v>23</v>
      </c>
      <c r="D622" t="s">
        <v>40</v>
      </c>
      <c r="E622" t="s">
        <v>41</v>
      </c>
      <c r="F622" t="s">
        <v>68</v>
      </c>
      <c r="G622" t="s">
        <v>27</v>
      </c>
      <c r="H622">
        <v>1</v>
      </c>
      <c r="I622" s="3">
        <v>449</v>
      </c>
      <c r="J622" s="4">
        <v>15</v>
      </c>
      <c r="K622" s="3">
        <v>382</v>
      </c>
      <c r="L622" s="3">
        <v>382</v>
      </c>
      <c r="M622" t="s">
        <v>28</v>
      </c>
      <c r="N622" t="s">
        <v>37</v>
      </c>
      <c r="O622" s="3">
        <v>45</v>
      </c>
      <c r="P622" t="s">
        <v>30</v>
      </c>
      <c r="Q622" s="3">
        <v>20.41</v>
      </c>
      <c r="R622" s="3">
        <v>196.82</v>
      </c>
      <c r="S622" s="3">
        <v>119.77</v>
      </c>
      <c r="T622" s="3">
        <v>382</v>
      </c>
      <c r="U622" s="3">
        <v>14</v>
      </c>
      <c r="V622" t="s">
        <v>31</v>
      </c>
    </row>
    <row r="623" spans="1:22" x14ac:dyDescent="0.3">
      <c r="A623" t="s">
        <v>707</v>
      </c>
      <c r="B623" s="1">
        <v>46182</v>
      </c>
      <c r="C623" t="s">
        <v>78</v>
      </c>
      <c r="D623" t="s">
        <v>74</v>
      </c>
      <c r="E623" t="s">
        <v>75</v>
      </c>
      <c r="F623" t="s">
        <v>109</v>
      </c>
      <c r="G623" t="s">
        <v>110</v>
      </c>
      <c r="H623">
        <v>2</v>
      </c>
      <c r="I623" s="3">
        <v>549</v>
      </c>
      <c r="J623" s="4">
        <v>20</v>
      </c>
      <c r="K623" s="3">
        <v>439</v>
      </c>
      <c r="L623" s="3">
        <v>878</v>
      </c>
      <c r="M623" t="s">
        <v>28</v>
      </c>
      <c r="N623" t="s">
        <v>29</v>
      </c>
      <c r="O623" s="3">
        <v>35</v>
      </c>
      <c r="P623" t="s">
        <v>30</v>
      </c>
      <c r="Q623" s="3">
        <v>57</v>
      </c>
      <c r="R623" s="3">
        <v>408</v>
      </c>
      <c r="S623" s="3">
        <v>378</v>
      </c>
      <c r="T623" s="3">
        <v>439</v>
      </c>
      <c r="U623" s="3">
        <v>24</v>
      </c>
      <c r="V623" t="s">
        <v>81</v>
      </c>
    </row>
    <row r="624" spans="1:22" x14ac:dyDescent="0.3">
      <c r="A624" t="s">
        <v>708</v>
      </c>
      <c r="B624" s="1">
        <v>46083</v>
      </c>
      <c r="C624" t="s">
        <v>39</v>
      </c>
      <c r="D624" t="s">
        <v>33</v>
      </c>
      <c r="E624" t="s">
        <v>34</v>
      </c>
      <c r="F624" t="s">
        <v>48</v>
      </c>
      <c r="G624" t="s">
        <v>49</v>
      </c>
      <c r="H624">
        <v>1</v>
      </c>
      <c r="I624" s="3">
        <v>599</v>
      </c>
      <c r="J624" s="4">
        <v>20</v>
      </c>
      <c r="K624" s="3">
        <v>479</v>
      </c>
      <c r="L624" s="3">
        <v>479</v>
      </c>
      <c r="M624" t="s">
        <v>69</v>
      </c>
      <c r="N624" t="s">
        <v>37</v>
      </c>
      <c r="O624" s="3">
        <v>55</v>
      </c>
      <c r="P624" t="s">
        <v>70</v>
      </c>
      <c r="Q624" s="3">
        <v>37.03</v>
      </c>
      <c r="R624" s="3">
        <v>207.18</v>
      </c>
      <c r="S624" s="3">
        <v>179.79</v>
      </c>
      <c r="T624" s="3">
        <v>479</v>
      </c>
      <c r="U624" s="3">
        <v>10</v>
      </c>
      <c r="V624" t="s">
        <v>43</v>
      </c>
    </row>
    <row r="625" spans="1:22" x14ac:dyDescent="0.3">
      <c r="A625" t="s">
        <v>709</v>
      </c>
      <c r="B625" s="1">
        <v>46144</v>
      </c>
      <c r="C625" t="s">
        <v>62</v>
      </c>
      <c r="D625" t="s">
        <v>24</v>
      </c>
      <c r="E625" t="s">
        <v>25</v>
      </c>
      <c r="F625" t="s">
        <v>79</v>
      </c>
      <c r="G625" t="s">
        <v>80</v>
      </c>
      <c r="H625">
        <v>2</v>
      </c>
      <c r="I625" s="3">
        <v>349</v>
      </c>
      <c r="J625" s="4">
        <v>20</v>
      </c>
      <c r="K625" s="3">
        <v>279</v>
      </c>
      <c r="L625" s="3">
        <v>558</v>
      </c>
      <c r="M625" t="s">
        <v>28</v>
      </c>
      <c r="N625" t="s">
        <v>37</v>
      </c>
      <c r="O625" s="3">
        <v>55</v>
      </c>
      <c r="P625" t="s">
        <v>30</v>
      </c>
      <c r="Q625" s="3">
        <v>24.76</v>
      </c>
      <c r="R625" s="3">
        <v>288.25</v>
      </c>
      <c r="S625" s="3">
        <v>189.99</v>
      </c>
      <c r="T625" s="3">
        <v>279</v>
      </c>
      <c r="U625" s="3">
        <v>18</v>
      </c>
      <c r="V625" t="s">
        <v>65</v>
      </c>
    </row>
    <row r="626" spans="1:22" x14ac:dyDescent="0.3">
      <c r="A626" t="s">
        <v>710</v>
      </c>
      <c r="B626" s="1">
        <v>46073</v>
      </c>
      <c r="C626" t="s">
        <v>95</v>
      </c>
      <c r="D626" t="s">
        <v>63</v>
      </c>
      <c r="E626" t="s">
        <v>47</v>
      </c>
      <c r="F626" t="s">
        <v>84</v>
      </c>
      <c r="G626" t="s">
        <v>84</v>
      </c>
      <c r="H626">
        <v>1</v>
      </c>
      <c r="I626" s="3">
        <v>399</v>
      </c>
      <c r="J626" s="4">
        <v>25</v>
      </c>
      <c r="K626" s="3">
        <v>299</v>
      </c>
      <c r="L626" s="3">
        <v>299</v>
      </c>
      <c r="M626" t="s">
        <v>76</v>
      </c>
      <c r="N626" t="s">
        <v>37</v>
      </c>
      <c r="O626" s="3">
        <v>55</v>
      </c>
      <c r="P626" t="s">
        <v>30</v>
      </c>
      <c r="Q626" s="3">
        <v>12.02</v>
      </c>
      <c r="R626" s="3">
        <v>137.91999999999999</v>
      </c>
      <c r="S626" s="3">
        <v>94.06</v>
      </c>
      <c r="T626" s="3">
        <v>299</v>
      </c>
      <c r="U626" s="3">
        <v>8</v>
      </c>
      <c r="V626" t="s">
        <v>96</v>
      </c>
    </row>
    <row r="627" spans="1:22" x14ac:dyDescent="0.3">
      <c r="A627" t="s">
        <v>711</v>
      </c>
      <c r="B627" s="1">
        <v>46027</v>
      </c>
      <c r="C627" t="s">
        <v>52</v>
      </c>
      <c r="D627" t="s">
        <v>53</v>
      </c>
      <c r="E627" t="s">
        <v>54</v>
      </c>
      <c r="F627" t="s">
        <v>26</v>
      </c>
      <c r="G627" t="s">
        <v>27</v>
      </c>
      <c r="H627">
        <v>1</v>
      </c>
      <c r="I627" s="3">
        <v>499</v>
      </c>
      <c r="J627" s="4">
        <v>20</v>
      </c>
      <c r="K627" s="3">
        <v>399</v>
      </c>
      <c r="L627" s="3">
        <v>399</v>
      </c>
      <c r="M627" t="s">
        <v>28</v>
      </c>
      <c r="N627" t="s">
        <v>37</v>
      </c>
      <c r="O627" s="3">
        <v>45</v>
      </c>
      <c r="P627" t="s">
        <v>30</v>
      </c>
      <c r="Q627" s="3">
        <v>27.65</v>
      </c>
      <c r="R627" s="3">
        <v>194.9</v>
      </c>
      <c r="S627" s="3">
        <v>131.44999999999999</v>
      </c>
      <c r="T627" s="3">
        <v>399</v>
      </c>
      <c r="U627" s="3">
        <v>2</v>
      </c>
      <c r="V627" t="s">
        <v>57</v>
      </c>
    </row>
    <row r="628" spans="1:22" x14ac:dyDescent="0.3">
      <c r="A628" t="s">
        <v>712</v>
      </c>
      <c r="B628" s="1">
        <v>46114</v>
      </c>
      <c r="C628" t="s">
        <v>23</v>
      </c>
      <c r="D628" t="s">
        <v>74</v>
      </c>
      <c r="E628" t="s">
        <v>75</v>
      </c>
      <c r="F628" t="s">
        <v>109</v>
      </c>
      <c r="G628" t="s">
        <v>110</v>
      </c>
      <c r="H628">
        <v>1</v>
      </c>
      <c r="I628" s="3">
        <v>549</v>
      </c>
      <c r="J628" s="4">
        <v>15</v>
      </c>
      <c r="K628" s="3">
        <v>467</v>
      </c>
      <c r="L628" s="3">
        <v>467</v>
      </c>
      <c r="M628" t="s">
        <v>69</v>
      </c>
      <c r="N628" t="s">
        <v>37</v>
      </c>
      <c r="O628" s="3">
        <v>65</v>
      </c>
      <c r="P628" t="s">
        <v>70</v>
      </c>
      <c r="Q628" s="3">
        <v>35.11</v>
      </c>
      <c r="R628" s="3">
        <v>241.23</v>
      </c>
      <c r="S628" s="3">
        <v>125.66</v>
      </c>
      <c r="T628" s="3">
        <v>467</v>
      </c>
      <c r="U628" s="3">
        <v>14</v>
      </c>
      <c r="V628" t="s">
        <v>31</v>
      </c>
    </row>
    <row r="629" spans="1:22" x14ac:dyDescent="0.3">
      <c r="A629" t="s">
        <v>713</v>
      </c>
      <c r="B629" s="1">
        <v>46192</v>
      </c>
      <c r="C629" t="s">
        <v>78</v>
      </c>
      <c r="D629" t="s">
        <v>46</v>
      </c>
      <c r="E629" t="s">
        <v>47</v>
      </c>
      <c r="F629" t="s">
        <v>79</v>
      </c>
      <c r="G629" t="s">
        <v>80</v>
      </c>
      <c r="H629">
        <v>1</v>
      </c>
      <c r="I629" s="3">
        <v>899</v>
      </c>
      <c r="J629" s="4">
        <v>25</v>
      </c>
      <c r="K629" s="3">
        <v>674</v>
      </c>
      <c r="L629" s="3">
        <v>674</v>
      </c>
      <c r="M629" t="s">
        <v>64</v>
      </c>
      <c r="N629" t="s">
        <v>29</v>
      </c>
      <c r="O629" s="3">
        <v>45</v>
      </c>
      <c r="P629" t="s">
        <v>30</v>
      </c>
      <c r="Q629" s="3">
        <v>53.39</v>
      </c>
      <c r="R629" s="3">
        <v>326.89999999999998</v>
      </c>
      <c r="S629" s="3">
        <v>248.71</v>
      </c>
      <c r="T629" s="3">
        <v>674</v>
      </c>
      <c r="U629" s="3">
        <v>25</v>
      </c>
      <c r="V629" t="s">
        <v>81</v>
      </c>
    </row>
    <row r="630" spans="1:22" x14ac:dyDescent="0.3">
      <c r="A630" t="s">
        <v>714</v>
      </c>
      <c r="B630" s="1">
        <v>46044</v>
      </c>
      <c r="C630" t="s">
        <v>52</v>
      </c>
      <c r="D630" t="s">
        <v>93</v>
      </c>
      <c r="E630" t="s">
        <v>47</v>
      </c>
      <c r="F630" t="s">
        <v>100</v>
      </c>
      <c r="G630" t="s">
        <v>101</v>
      </c>
      <c r="H630">
        <v>1</v>
      </c>
      <c r="I630" s="3">
        <v>699</v>
      </c>
      <c r="J630" s="4">
        <v>15</v>
      </c>
      <c r="K630" s="3">
        <v>594</v>
      </c>
      <c r="L630" s="3">
        <v>594</v>
      </c>
      <c r="M630" t="s">
        <v>28</v>
      </c>
      <c r="N630" t="s">
        <v>29</v>
      </c>
      <c r="O630" s="3">
        <v>55</v>
      </c>
      <c r="P630" t="s">
        <v>30</v>
      </c>
      <c r="Q630" s="3">
        <v>26.94</v>
      </c>
      <c r="R630" s="3">
        <v>256.36</v>
      </c>
      <c r="S630" s="3">
        <v>255.7</v>
      </c>
      <c r="T630" s="3">
        <v>594</v>
      </c>
      <c r="U630" s="3">
        <v>4</v>
      </c>
      <c r="V630" t="s">
        <v>57</v>
      </c>
    </row>
    <row r="631" spans="1:22" x14ac:dyDescent="0.3">
      <c r="A631" t="s">
        <v>715</v>
      </c>
      <c r="B631" s="1">
        <v>46023</v>
      </c>
      <c r="C631" t="s">
        <v>52</v>
      </c>
      <c r="D631" t="s">
        <v>33</v>
      </c>
      <c r="E631" t="s">
        <v>34</v>
      </c>
      <c r="F631" t="s">
        <v>109</v>
      </c>
      <c r="G631" t="s">
        <v>110</v>
      </c>
      <c r="H631">
        <v>1</v>
      </c>
      <c r="I631" s="3">
        <v>599</v>
      </c>
      <c r="J631" s="4">
        <v>5</v>
      </c>
      <c r="K631" s="3">
        <v>569</v>
      </c>
      <c r="L631" s="3">
        <v>569</v>
      </c>
      <c r="M631" t="s">
        <v>28</v>
      </c>
      <c r="N631" t="s">
        <v>29</v>
      </c>
      <c r="O631" s="3">
        <v>35</v>
      </c>
      <c r="P631" t="s">
        <v>30</v>
      </c>
      <c r="Q631" s="3">
        <v>43.42</v>
      </c>
      <c r="R631" s="3">
        <v>243.95</v>
      </c>
      <c r="S631" s="3">
        <v>246.63</v>
      </c>
      <c r="T631" s="3">
        <v>569</v>
      </c>
      <c r="U631" s="3">
        <v>1</v>
      </c>
      <c r="V631" t="s">
        <v>57</v>
      </c>
    </row>
    <row r="632" spans="1:22" x14ac:dyDescent="0.3">
      <c r="A632" t="s">
        <v>716</v>
      </c>
      <c r="B632" s="1">
        <v>46155</v>
      </c>
      <c r="C632" t="s">
        <v>62</v>
      </c>
      <c r="D632" t="s">
        <v>59</v>
      </c>
      <c r="E632" t="s">
        <v>60</v>
      </c>
      <c r="F632" t="s">
        <v>55</v>
      </c>
      <c r="G632" t="s">
        <v>56</v>
      </c>
      <c r="H632">
        <v>2</v>
      </c>
      <c r="I632" s="3">
        <v>299</v>
      </c>
      <c r="J632" s="4">
        <v>15</v>
      </c>
      <c r="K632" s="3">
        <v>254</v>
      </c>
      <c r="L632" s="3">
        <v>508</v>
      </c>
      <c r="M632" t="s">
        <v>64</v>
      </c>
      <c r="N632" t="s">
        <v>37</v>
      </c>
      <c r="O632" s="3">
        <v>45</v>
      </c>
      <c r="P632" t="s">
        <v>30</v>
      </c>
      <c r="Q632" s="3">
        <v>23.32</v>
      </c>
      <c r="R632" s="3">
        <v>261.16000000000003</v>
      </c>
      <c r="S632" s="3">
        <v>178.52</v>
      </c>
      <c r="T632" s="3">
        <v>254</v>
      </c>
      <c r="U632" s="3">
        <v>20</v>
      </c>
      <c r="V632" t="s">
        <v>65</v>
      </c>
    </row>
    <row r="633" spans="1:22" x14ac:dyDescent="0.3">
      <c r="A633" t="s">
        <v>717</v>
      </c>
      <c r="B633" s="1">
        <v>46255</v>
      </c>
      <c r="C633" t="s">
        <v>67</v>
      </c>
      <c r="D633" t="s">
        <v>33</v>
      </c>
      <c r="E633" t="s">
        <v>34</v>
      </c>
      <c r="F633" t="s">
        <v>42</v>
      </c>
      <c r="G633" t="s">
        <v>27</v>
      </c>
      <c r="H633">
        <v>1</v>
      </c>
      <c r="I633" s="3">
        <v>599</v>
      </c>
      <c r="J633" s="4">
        <v>40</v>
      </c>
      <c r="K633" s="3">
        <v>359</v>
      </c>
      <c r="L633" s="3">
        <v>359</v>
      </c>
      <c r="M633" t="s">
        <v>28</v>
      </c>
      <c r="N633" t="s">
        <v>37</v>
      </c>
      <c r="O633" s="3">
        <v>45</v>
      </c>
      <c r="P633" t="s">
        <v>30</v>
      </c>
      <c r="Q633" s="3">
        <v>14.6</v>
      </c>
      <c r="R633" s="3">
        <v>185.26</v>
      </c>
      <c r="S633" s="3">
        <v>114.14</v>
      </c>
      <c r="T633" s="3">
        <v>359</v>
      </c>
      <c r="U633" s="3">
        <v>34</v>
      </c>
      <c r="V633" t="s">
        <v>71</v>
      </c>
    </row>
    <row r="634" spans="1:22" x14ac:dyDescent="0.3">
      <c r="A634" t="s">
        <v>718</v>
      </c>
      <c r="B634" s="1">
        <v>46034</v>
      </c>
      <c r="C634" t="s">
        <v>52</v>
      </c>
      <c r="D634" t="s">
        <v>115</v>
      </c>
      <c r="E634" t="s">
        <v>116</v>
      </c>
      <c r="F634" t="s">
        <v>48</v>
      </c>
      <c r="G634" t="s">
        <v>49</v>
      </c>
      <c r="H634">
        <v>1</v>
      </c>
      <c r="I634" s="3">
        <v>249</v>
      </c>
      <c r="J634" s="4">
        <v>25</v>
      </c>
      <c r="K634" s="3">
        <v>187</v>
      </c>
      <c r="L634" s="3">
        <v>187</v>
      </c>
      <c r="M634" t="s">
        <v>69</v>
      </c>
      <c r="N634" t="s">
        <v>29</v>
      </c>
      <c r="O634" s="3">
        <v>55</v>
      </c>
      <c r="P634" t="s">
        <v>70</v>
      </c>
      <c r="Q634" s="3">
        <v>11.96</v>
      </c>
      <c r="R634" s="3">
        <v>84.93</v>
      </c>
      <c r="S634" s="3">
        <v>35.11</v>
      </c>
      <c r="T634" s="3">
        <v>187</v>
      </c>
      <c r="U634" s="3">
        <v>3</v>
      </c>
      <c r="V634" t="s">
        <v>57</v>
      </c>
    </row>
    <row r="635" spans="1:22" x14ac:dyDescent="0.3">
      <c r="A635" t="s">
        <v>719</v>
      </c>
      <c r="B635" s="1">
        <v>46068</v>
      </c>
      <c r="C635" t="s">
        <v>95</v>
      </c>
      <c r="D635" t="s">
        <v>63</v>
      </c>
      <c r="E635" t="s">
        <v>47</v>
      </c>
      <c r="F635" t="s">
        <v>35</v>
      </c>
      <c r="G635" t="s">
        <v>36</v>
      </c>
      <c r="H635">
        <v>1</v>
      </c>
      <c r="I635" s="3">
        <v>399</v>
      </c>
      <c r="J635" s="4">
        <v>10</v>
      </c>
      <c r="K635" s="3">
        <v>359</v>
      </c>
      <c r="L635" s="3">
        <v>359</v>
      </c>
      <c r="M635" t="s">
        <v>76</v>
      </c>
      <c r="N635" t="s">
        <v>37</v>
      </c>
      <c r="O635" s="3">
        <v>45</v>
      </c>
      <c r="P635" t="s">
        <v>30</v>
      </c>
      <c r="Q635" s="3">
        <v>25.35</v>
      </c>
      <c r="R635" s="3">
        <v>158.33000000000001</v>
      </c>
      <c r="S635" s="3">
        <v>130.32</v>
      </c>
      <c r="T635" s="3">
        <v>359</v>
      </c>
      <c r="U635" s="3">
        <v>7</v>
      </c>
      <c r="V635" t="s">
        <v>96</v>
      </c>
    </row>
    <row r="636" spans="1:22" x14ac:dyDescent="0.3">
      <c r="A636" t="s">
        <v>720</v>
      </c>
      <c r="B636" s="1">
        <v>46056</v>
      </c>
      <c r="C636" t="s">
        <v>95</v>
      </c>
      <c r="D636" t="s">
        <v>74</v>
      </c>
      <c r="E636" t="s">
        <v>75</v>
      </c>
      <c r="F636" t="s">
        <v>42</v>
      </c>
      <c r="G636" t="s">
        <v>27</v>
      </c>
      <c r="H636">
        <v>1</v>
      </c>
      <c r="I636" s="3">
        <v>549</v>
      </c>
      <c r="J636" s="4">
        <v>35</v>
      </c>
      <c r="K636" s="3">
        <v>357</v>
      </c>
      <c r="L636" s="3">
        <v>357</v>
      </c>
      <c r="M636" t="s">
        <v>28</v>
      </c>
      <c r="N636" t="s">
        <v>37</v>
      </c>
      <c r="O636" s="3">
        <v>65</v>
      </c>
      <c r="P636" t="s">
        <v>30</v>
      </c>
      <c r="Q636" s="3">
        <v>16.52</v>
      </c>
      <c r="R636" s="3">
        <v>184.3</v>
      </c>
      <c r="S636" s="3">
        <v>91.18</v>
      </c>
      <c r="T636" s="3">
        <v>357</v>
      </c>
      <c r="U636" s="3">
        <v>6</v>
      </c>
      <c r="V636" t="s">
        <v>96</v>
      </c>
    </row>
    <row r="637" spans="1:22" x14ac:dyDescent="0.3">
      <c r="A637" t="s">
        <v>721</v>
      </c>
      <c r="B637" s="1">
        <v>46100</v>
      </c>
      <c r="C637" t="s">
        <v>39</v>
      </c>
      <c r="D637" t="s">
        <v>63</v>
      </c>
      <c r="E637" t="s">
        <v>47</v>
      </c>
      <c r="F637" t="s">
        <v>26</v>
      </c>
      <c r="G637" t="s">
        <v>27</v>
      </c>
      <c r="H637">
        <v>1</v>
      </c>
      <c r="I637" s="3">
        <v>399</v>
      </c>
      <c r="J637" s="4">
        <v>15</v>
      </c>
      <c r="K637" s="3">
        <v>339</v>
      </c>
      <c r="L637" s="3">
        <v>339</v>
      </c>
      <c r="M637" t="s">
        <v>64</v>
      </c>
      <c r="N637" t="s">
        <v>37</v>
      </c>
      <c r="O637" s="3">
        <v>55</v>
      </c>
      <c r="P637" t="s">
        <v>30</v>
      </c>
      <c r="Q637" s="3">
        <v>22</v>
      </c>
      <c r="R637" s="3">
        <v>174.06</v>
      </c>
      <c r="S637" s="3">
        <v>87.94</v>
      </c>
      <c r="T637" s="3">
        <v>339</v>
      </c>
      <c r="U637" s="3">
        <v>12</v>
      </c>
      <c r="V637" t="s">
        <v>43</v>
      </c>
    </row>
    <row r="638" spans="1:22" x14ac:dyDescent="0.3">
      <c r="A638" t="s">
        <v>722</v>
      </c>
      <c r="B638" s="1">
        <v>46240</v>
      </c>
      <c r="C638" t="s">
        <v>67</v>
      </c>
      <c r="D638" t="s">
        <v>40</v>
      </c>
      <c r="E638" t="s">
        <v>41</v>
      </c>
      <c r="F638" t="s">
        <v>109</v>
      </c>
      <c r="G638" t="s">
        <v>110</v>
      </c>
      <c r="H638">
        <v>2</v>
      </c>
      <c r="I638" s="3">
        <v>449</v>
      </c>
      <c r="J638" s="4">
        <v>20</v>
      </c>
      <c r="K638" s="3">
        <v>359</v>
      </c>
      <c r="L638" s="3">
        <v>718</v>
      </c>
      <c r="M638" t="s">
        <v>76</v>
      </c>
      <c r="N638" t="s">
        <v>29</v>
      </c>
      <c r="O638" s="3">
        <v>65</v>
      </c>
      <c r="P638" t="s">
        <v>30</v>
      </c>
      <c r="Q638" s="3">
        <v>31.29</v>
      </c>
      <c r="R638" s="3">
        <v>331.57</v>
      </c>
      <c r="S638" s="3">
        <v>290.14</v>
      </c>
      <c r="T638" s="3">
        <v>359</v>
      </c>
      <c r="U638" s="3">
        <v>32</v>
      </c>
      <c r="V638" t="s">
        <v>71</v>
      </c>
    </row>
    <row r="639" spans="1:22" x14ac:dyDescent="0.3">
      <c r="A639" t="s">
        <v>723</v>
      </c>
      <c r="B639" s="1">
        <v>46095</v>
      </c>
      <c r="C639" t="s">
        <v>39</v>
      </c>
      <c r="D639" t="s">
        <v>115</v>
      </c>
      <c r="E639" t="s">
        <v>116</v>
      </c>
      <c r="F639" t="s">
        <v>48</v>
      </c>
      <c r="G639" t="s">
        <v>49</v>
      </c>
      <c r="H639">
        <v>1</v>
      </c>
      <c r="I639" s="3">
        <v>249</v>
      </c>
      <c r="J639" s="4">
        <v>10</v>
      </c>
      <c r="K639" s="3">
        <v>224</v>
      </c>
      <c r="L639" s="3">
        <v>224</v>
      </c>
      <c r="M639" t="s">
        <v>28</v>
      </c>
      <c r="N639" t="s">
        <v>37</v>
      </c>
      <c r="O639" s="3">
        <v>55</v>
      </c>
      <c r="P639" t="s">
        <v>30</v>
      </c>
      <c r="Q639" s="3">
        <v>12.97</v>
      </c>
      <c r="R639" s="3">
        <v>96.36</v>
      </c>
      <c r="S639" s="3">
        <v>59.67</v>
      </c>
      <c r="T639" s="3">
        <v>224</v>
      </c>
      <c r="U639" s="3">
        <v>11</v>
      </c>
      <c r="V639" t="s">
        <v>43</v>
      </c>
    </row>
    <row r="640" spans="1:22" x14ac:dyDescent="0.3">
      <c r="A640" t="s">
        <v>724</v>
      </c>
      <c r="B640" s="1">
        <v>46271</v>
      </c>
      <c r="C640" t="s">
        <v>86</v>
      </c>
      <c r="D640" t="s">
        <v>46</v>
      </c>
      <c r="E640" t="s">
        <v>47</v>
      </c>
      <c r="F640" t="s">
        <v>26</v>
      </c>
      <c r="G640" t="s">
        <v>27</v>
      </c>
      <c r="H640">
        <v>1</v>
      </c>
      <c r="I640" s="3">
        <v>899</v>
      </c>
      <c r="J640" s="4">
        <v>10</v>
      </c>
      <c r="K640" s="3">
        <v>809</v>
      </c>
      <c r="L640" s="3">
        <v>809</v>
      </c>
      <c r="M640" t="s">
        <v>28</v>
      </c>
      <c r="N640" t="s">
        <v>37</v>
      </c>
      <c r="O640" s="3">
        <v>65</v>
      </c>
      <c r="P640" t="s">
        <v>30</v>
      </c>
      <c r="Q640" s="3">
        <v>55.45</v>
      </c>
      <c r="R640" s="3">
        <v>410.46</v>
      </c>
      <c r="S640" s="3">
        <v>278.08999999999997</v>
      </c>
      <c r="T640" s="3">
        <v>809</v>
      </c>
      <c r="U640" s="3">
        <v>36</v>
      </c>
      <c r="V640" t="s">
        <v>87</v>
      </c>
    </row>
    <row r="641" spans="1:22" x14ac:dyDescent="0.3">
      <c r="A641" t="s">
        <v>725</v>
      </c>
      <c r="B641" s="1">
        <v>46069</v>
      </c>
      <c r="C641" t="s">
        <v>95</v>
      </c>
      <c r="D641" t="s">
        <v>115</v>
      </c>
      <c r="E641" t="s">
        <v>116</v>
      </c>
      <c r="F641" t="s">
        <v>35</v>
      </c>
      <c r="G641" t="s">
        <v>36</v>
      </c>
      <c r="H641">
        <v>1</v>
      </c>
      <c r="I641" s="3">
        <v>249</v>
      </c>
      <c r="J641" s="4">
        <v>10</v>
      </c>
      <c r="K641" s="3">
        <v>224</v>
      </c>
      <c r="L641" s="3">
        <v>224</v>
      </c>
      <c r="M641" t="s">
        <v>28</v>
      </c>
      <c r="N641" t="s">
        <v>29</v>
      </c>
      <c r="O641" s="3">
        <v>65</v>
      </c>
      <c r="P641" t="s">
        <v>30</v>
      </c>
      <c r="Q641" s="3">
        <v>10.01</v>
      </c>
      <c r="R641" s="3">
        <v>104.23</v>
      </c>
      <c r="S641" s="3">
        <v>44.76</v>
      </c>
      <c r="T641" s="3">
        <v>224</v>
      </c>
      <c r="U641" s="3">
        <v>8</v>
      </c>
      <c r="V641" t="s">
        <v>96</v>
      </c>
    </row>
    <row r="642" spans="1:22" x14ac:dyDescent="0.3">
      <c r="A642" t="s">
        <v>726</v>
      </c>
      <c r="B642" s="1">
        <v>46143</v>
      </c>
      <c r="C642" t="s">
        <v>62</v>
      </c>
      <c r="D642" t="s">
        <v>93</v>
      </c>
      <c r="E642" t="s">
        <v>47</v>
      </c>
      <c r="F642" t="s">
        <v>42</v>
      </c>
      <c r="G642" t="s">
        <v>27</v>
      </c>
      <c r="H642">
        <v>2</v>
      </c>
      <c r="I642" s="3">
        <v>699</v>
      </c>
      <c r="J642" s="4">
        <v>35</v>
      </c>
      <c r="K642" s="3">
        <v>454</v>
      </c>
      <c r="L642" s="3">
        <v>908</v>
      </c>
      <c r="M642" t="s">
        <v>28</v>
      </c>
      <c r="N642" t="s">
        <v>29</v>
      </c>
      <c r="O642" s="3">
        <v>35</v>
      </c>
      <c r="P642" t="s">
        <v>30</v>
      </c>
      <c r="Q642" s="3">
        <v>49.35</v>
      </c>
      <c r="R642" s="3">
        <v>429.42</v>
      </c>
      <c r="S642" s="3">
        <v>394.23</v>
      </c>
      <c r="T642" s="3">
        <v>454</v>
      </c>
      <c r="U642" s="3">
        <v>18</v>
      </c>
      <c r="V642" t="s">
        <v>65</v>
      </c>
    </row>
    <row r="643" spans="1:22" x14ac:dyDescent="0.3">
      <c r="A643" t="s">
        <v>727</v>
      </c>
      <c r="B643" s="1">
        <v>46236</v>
      </c>
      <c r="C643" t="s">
        <v>67</v>
      </c>
      <c r="D643" t="s">
        <v>63</v>
      </c>
      <c r="E643" t="s">
        <v>47</v>
      </c>
      <c r="F643" t="s">
        <v>55</v>
      </c>
      <c r="G643" t="s">
        <v>56</v>
      </c>
      <c r="H643">
        <v>1</v>
      </c>
      <c r="I643" s="3">
        <v>399</v>
      </c>
      <c r="J643" s="4">
        <v>30</v>
      </c>
      <c r="K643" s="3">
        <v>279</v>
      </c>
      <c r="L643" s="3">
        <v>279</v>
      </c>
      <c r="M643" t="s">
        <v>28</v>
      </c>
      <c r="N643" t="s">
        <v>37</v>
      </c>
      <c r="O643" s="3">
        <v>35</v>
      </c>
      <c r="P643" t="s">
        <v>30</v>
      </c>
      <c r="Q643" s="3">
        <v>20.440000000000001</v>
      </c>
      <c r="R643" s="3">
        <v>128.44</v>
      </c>
      <c r="S643" s="3">
        <v>95.12</v>
      </c>
      <c r="T643" s="3">
        <v>279</v>
      </c>
      <c r="U643" s="3">
        <v>31</v>
      </c>
      <c r="V643" t="s">
        <v>71</v>
      </c>
    </row>
    <row r="644" spans="1:22" x14ac:dyDescent="0.3">
      <c r="A644" t="s">
        <v>728</v>
      </c>
      <c r="B644" s="1">
        <v>46261</v>
      </c>
      <c r="C644" t="s">
        <v>67</v>
      </c>
      <c r="D644" t="s">
        <v>112</v>
      </c>
      <c r="E644" t="s">
        <v>47</v>
      </c>
      <c r="F644" t="s">
        <v>42</v>
      </c>
      <c r="G644" t="s">
        <v>27</v>
      </c>
      <c r="H644">
        <v>2</v>
      </c>
      <c r="I644" s="3">
        <v>299</v>
      </c>
      <c r="J644" s="4">
        <v>35</v>
      </c>
      <c r="K644" s="3">
        <v>194</v>
      </c>
      <c r="L644" s="3">
        <v>388</v>
      </c>
      <c r="M644" t="s">
        <v>28</v>
      </c>
      <c r="N644" t="s">
        <v>37</v>
      </c>
      <c r="O644" s="3">
        <v>45</v>
      </c>
      <c r="P644" t="s">
        <v>30</v>
      </c>
      <c r="Q644" s="3">
        <v>20.7</v>
      </c>
      <c r="R644" s="3">
        <v>167.1</v>
      </c>
      <c r="S644" s="3">
        <v>155.19999999999999</v>
      </c>
      <c r="T644" s="3">
        <v>194</v>
      </c>
      <c r="U644" s="3">
        <v>35</v>
      </c>
      <c r="V644" t="s">
        <v>71</v>
      </c>
    </row>
    <row r="645" spans="1:22" x14ac:dyDescent="0.3">
      <c r="A645" t="s">
        <v>729</v>
      </c>
      <c r="B645" s="1">
        <v>46078</v>
      </c>
      <c r="C645" t="s">
        <v>95</v>
      </c>
      <c r="D645" t="s">
        <v>63</v>
      </c>
      <c r="E645" t="s">
        <v>47</v>
      </c>
      <c r="F645" t="s">
        <v>68</v>
      </c>
      <c r="G645" t="s">
        <v>27</v>
      </c>
      <c r="H645">
        <v>1</v>
      </c>
      <c r="I645" s="3">
        <v>399</v>
      </c>
      <c r="J645" s="4">
        <v>20</v>
      </c>
      <c r="K645" s="3">
        <v>319</v>
      </c>
      <c r="L645" s="3">
        <v>319</v>
      </c>
      <c r="M645" t="s">
        <v>28</v>
      </c>
      <c r="N645" t="s">
        <v>37</v>
      </c>
      <c r="O645" s="3">
        <v>55</v>
      </c>
      <c r="P645" t="s">
        <v>30</v>
      </c>
      <c r="Q645" s="3">
        <v>16.88</v>
      </c>
      <c r="R645" s="3">
        <v>151.34</v>
      </c>
      <c r="S645" s="3">
        <v>95.78</v>
      </c>
      <c r="T645" s="3">
        <v>319</v>
      </c>
      <c r="U645" s="3">
        <v>9</v>
      </c>
      <c r="V645" t="s">
        <v>96</v>
      </c>
    </row>
    <row r="646" spans="1:22" x14ac:dyDescent="0.3">
      <c r="A646" t="s">
        <v>730</v>
      </c>
      <c r="B646" s="1">
        <v>46129</v>
      </c>
      <c r="C646" t="s">
        <v>23</v>
      </c>
      <c r="D646" t="s">
        <v>59</v>
      </c>
      <c r="E646" t="s">
        <v>60</v>
      </c>
      <c r="F646" t="s">
        <v>84</v>
      </c>
      <c r="G646" t="s">
        <v>84</v>
      </c>
      <c r="H646">
        <v>1</v>
      </c>
      <c r="I646" s="3">
        <v>299</v>
      </c>
      <c r="J646" s="4">
        <v>40</v>
      </c>
      <c r="K646" s="3">
        <v>179</v>
      </c>
      <c r="L646" s="3">
        <v>179</v>
      </c>
      <c r="M646" t="s">
        <v>28</v>
      </c>
      <c r="N646" t="s">
        <v>37</v>
      </c>
      <c r="O646" s="3">
        <v>35</v>
      </c>
      <c r="P646" t="s">
        <v>30</v>
      </c>
      <c r="Q646" s="3">
        <v>8.48</v>
      </c>
      <c r="R646" s="3">
        <v>84.09</v>
      </c>
      <c r="S646" s="3">
        <v>51.43</v>
      </c>
      <c r="T646" s="3">
        <v>179</v>
      </c>
      <c r="U646" s="3">
        <v>16</v>
      </c>
      <c r="V646" t="s">
        <v>31</v>
      </c>
    </row>
    <row r="647" spans="1:22" x14ac:dyDescent="0.3">
      <c r="A647" t="s">
        <v>731</v>
      </c>
      <c r="B647" s="1">
        <v>46070</v>
      </c>
      <c r="C647" t="s">
        <v>95</v>
      </c>
      <c r="D647" t="s">
        <v>53</v>
      </c>
      <c r="E647" t="s">
        <v>54</v>
      </c>
      <c r="F647" t="s">
        <v>26</v>
      </c>
      <c r="G647" t="s">
        <v>27</v>
      </c>
      <c r="H647">
        <v>1</v>
      </c>
      <c r="I647" s="3">
        <v>499</v>
      </c>
      <c r="J647" s="4">
        <v>25</v>
      </c>
      <c r="K647" s="3">
        <v>374</v>
      </c>
      <c r="L647" s="3">
        <v>374</v>
      </c>
      <c r="M647" t="s">
        <v>28</v>
      </c>
      <c r="N647" t="s">
        <v>37</v>
      </c>
      <c r="O647" s="3">
        <v>65</v>
      </c>
      <c r="P647" t="s">
        <v>30</v>
      </c>
      <c r="Q647" s="3">
        <v>26.57</v>
      </c>
      <c r="R647" s="3">
        <v>169.75</v>
      </c>
      <c r="S647" s="3">
        <v>112.68</v>
      </c>
      <c r="T647" s="3">
        <v>374</v>
      </c>
      <c r="U647" s="3">
        <v>8</v>
      </c>
      <c r="V647" t="s">
        <v>96</v>
      </c>
    </row>
    <row r="648" spans="1:22" x14ac:dyDescent="0.3">
      <c r="A648" t="s">
        <v>732</v>
      </c>
      <c r="B648" s="1">
        <v>46083</v>
      </c>
      <c r="C648" t="s">
        <v>39</v>
      </c>
      <c r="D648" t="s">
        <v>112</v>
      </c>
      <c r="E648" t="s">
        <v>47</v>
      </c>
      <c r="F648" t="s">
        <v>26</v>
      </c>
      <c r="G648" t="s">
        <v>27</v>
      </c>
      <c r="H648">
        <v>1</v>
      </c>
      <c r="I648" s="3">
        <v>299</v>
      </c>
      <c r="J648" s="4">
        <v>20</v>
      </c>
      <c r="K648" s="3">
        <v>239</v>
      </c>
      <c r="L648" s="3">
        <v>239</v>
      </c>
      <c r="M648" t="s">
        <v>64</v>
      </c>
      <c r="N648" t="s">
        <v>29</v>
      </c>
      <c r="O648" s="3">
        <v>45</v>
      </c>
      <c r="P648" t="s">
        <v>30</v>
      </c>
      <c r="Q648" s="3">
        <v>17.920000000000002</v>
      </c>
      <c r="R648" s="3">
        <v>108.81</v>
      </c>
      <c r="S648" s="3">
        <v>67.27</v>
      </c>
      <c r="T648" s="3">
        <v>239</v>
      </c>
      <c r="U648" s="3">
        <v>10</v>
      </c>
      <c r="V648" t="s">
        <v>43</v>
      </c>
    </row>
    <row r="649" spans="1:22" x14ac:dyDescent="0.3">
      <c r="A649" t="s">
        <v>733</v>
      </c>
      <c r="B649" s="1">
        <v>46048</v>
      </c>
      <c r="C649" t="s">
        <v>52</v>
      </c>
      <c r="D649" t="s">
        <v>40</v>
      </c>
      <c r="E649" t="s">
        <v>41</v>
      </c>
      <c r="F649" t="s">
        <v>68</v>
      </c>
      <c r="G649" t="s">
        <v>27</v>
      </c>
      <c r="H649">
        <v>1</v>
      </c>
      <c r="I649" s="3">
        <v>449</v>
      </c>
      <c r="J649" s="4">
        <v>20</v>
      </c>
      <c r="K649" s="3">
        <v>359</v>
      </c>
      <c r="L649" s="3">
        <v>359</v>
      </c>
      <c r="M649" t="s">
        <v>28</v>
      </c>
      <c r="N649" t="s">
        <v>29</v>
      </c>
      <c r="O649" s="3">
        <v>45</v>
      </c>
      <c r="P649" t="s">
        <v>30</v>
      </c>
      <c r="Q649" s="3">
        <v>17.170000000000002</v>
      </c>
      <c r="R649" s="3">
        <v>184.66</v>
      </c>
      <c r="S649" s="3">
        <v>112.17</v>
      </c>
      <c r="T649" s="3">
        <v>359</v>
      </c>
      <c r="U649" s="3">
        <v>5</v>
      </c>
      <c r="V649" t="s">
        <v>57</v>
      </c>
    </row>
    <row r="650" spans="1:22" x14ac:dyDescent="0.3">
      <c r="A650" t="s">
        <v>734</v>
      </c>
      <c r="B650" s="1">
        <v>46279</v>
      </c>
      <c r="C650" t="s">
        <v>86</v>
      </c>
      <c r="D650" t="s">
        <v>53</v>
      </c>
      <c r="E650" t="s">
        <v>54</v>
      </c>
      <c r="F650" t="s">
        <v>35</v>
      </c>
      <c r="G650" t="s">
        <v>36</v>
      </c>
      <c r="H650">
        <v>1</v>
      </c>
      <c r="I650" s="3">
        <v>499</v>
      </c>
      <c r="J650" s="4">
        <v>15</v>
      </c>
      <c r="K650" s="3">
        <v>424</v>
      </c>
      <c r="L650" s="3">
        <v>424</v>
      </c>
      <c r="M650" t="s">
        <v>76</v>
      </c>
      <c r="N650" t="s">
        <v>29</v>
      </c>
      <c r="O650" s="3">
        <v>65</v>
      </c>
      <c r="P650" t="s">
        <v>30</v>
      </c>
      <c r="Q650" s="3">
        <v>24.65</v>
      </c>
      <c r="R650" s="3">
        <v>179.69</v>
      </c>
      <c r="S650" s="3">
        <v>154.66</v>
      </c>
      <c r="T650" s="3">
        <v>424</v>
      </c>
      <c r="U650" s="3">
        <v>38</v>
      </c>
      <c r="V650" t="s">
        <v>87</v>
      </c>
    </row>
    <row r="651" spans="1:22" x14ac:dyDescent="0.3">
      <c r="A651" t="s">
        <v>735</v>
      </c>
      <c r="B651" s="1">
        <v>46030</v>
      </c>
      <c r="C651" t="s">
        <v>52</v>
      </c>
      <c r="D651" t="s">
        <v>112</v>
      </c>
      <c r="E651" t="s">
        <v>47</v>
      </c>
      <c r="F651" t="s">
        <v>84</v>
      </c>
      <c r="G651" t="s">
        <v>84</v>
      </c>
      <c r="H651">
        <v>1</v>
      </c>
      <c r="I651" s="3">
        <v>299</v>
      </c>
      <c r="J651" s="4">
        <v>10</v>
      </c>
      <c r="K651" s="3">
        <v>269</v>
      </c>
      <c r="L651" s="3">
        <v>269</v>
      </c>
      <c r="M651" t="s">
        <v>28</v>
      </c>
      <c r="N651" t="s">
        <v>37</v>
      </c>
      <c r="O651" s="3">
        <v>55</v>
      </c>
      <c r="P651" t="s">
        <v>30</v>
      </c>
      <c r="Q651" s="3">
        <v>19.39</v>
      </c>
      <c r="R651" s="3">
        <v>134.13999999999999</v>
      </c>
      <c r="S651" s="3">
        <v>60.47</v>
      </c>
      <c r="T651" s="3">
        <v>269</v>
      </c>
      <c r="U651" s="3">
        <v>2</v>
      </c>
      <c r="V651" t="s">
        <v>57</v>
      </c>
    </row>
    <row r="652" spans="1:22" x14ac:dyDescent="0.3">
      <c r="A652" t="s">
        <v>736</v>
      </c>
      <c r="B652" s="1">
        <v>46135</v>
      </c>
      <c r="C652" t="s">
        <v>23</v>
      </c>
      <c r="D652" t="s">
        <v>115</v>
      </c>
      <c r="E652" t="s">
        <v>116</v>
      </c>
      <c r="F652" t="s">
        <v>84</v>
      </c>
      <c r="G652" t="s">
        <v>84</v>
      </c>
      <c r="H652">
        <v>1</v>
      </c>
      <c r="I652" s="3">
        <v>249</v>
      </c>
      <c r="J652" s="4">
        <v>15</v>
      </c>
      <c r="K652" s="3">
        <v>212</v>
      </c>
      <c r="L652" s="3">
        <v>212</v>
      </c>
      <c r="M652" t="s">
        <v>28</v>
      </c>
      <c r="N652" t="s">
        <v>37</v>
      </c>
      <c r="O652" s="3">
        <v>55</v>
      </c>
      <c r="P652" t="s">
        <v>30</v>
      </c>
      <c r="Q652" s="3">
        <v>15.94</v>
      </c>
      <c r="R652" s="3">
        <v>93.17</v>
      </c>
      <c r="S652" s="3">
        <v>47.89</v>
      </c>
      <c r="T652" s="3">
        <v>212</v>
      </c>
      <c r="U652" s="3">
        <v>17</v>
      </c>
      <c r="V652" t="s">
        <v>31</v>
      </c>
    </row>
    <row r="653" spans="1:22" x14ac:dyDescent="0.3">
      <c r="A653" t="s">
        <v>737</v>
      </c>
      <c r="B653" s="1">
        <v>46275</v>
      </c>
      <c r="C653" t="s">
        <v>86</v>
      </c>
      <c r="D653" t="s">
        <v>130</v>
      </c>
      <c r="E653" t="s">
        <v>54</v>
      </c>
      <c r="F653" t="s">
        <v>35</v>
      </c>
      <c r="G653" t="s">
        <v>36</v>
      </c>
      <c r="H653">
        <v>1</v>
      </c>
      <c r="I653" s="3">
        <v>699</v>
      </c>
      <c r="J653" s="4">
        <v>35</v>
      </c>
      <c r="K653" s="3">
        <v>454</v>
      </c>
      <c r="L653" s="3">
        <v>454</v>
      </c>
      <c r="M653" t="s">
        <v>28</v>
      </c>
      <c r="N653" t="s">
        <v>29</v>
      </c>
      <c r="O653" s="3">
        <v>45</v>
      </c>
      <c r="P653" t="s">
        <v>30</v>
      </c>
      <c r="Q653" s="3">
        <v>27.84</v>
      </c>
      <c r="R653" s="3">
        <v>212.08</v>
      </c>
      <c r="S653" s="3">
        <v>169.08</v>
      </c>
      <c r="T653" s="3">
        <v>454</v>
      </c>
      <c r="U653" s="3">
        <v>37</v>
      </c>
      <c r="V653" t="s">
        <v>87</v>
      </c>
    </row>
    <row r="654" spans="1:22" x14ac:dyDescent="0.3">
      <c r="A654" t="s">
        <v>738</v>
      </c>
      <c r="B654" s="1">
        <v>46202</v>
      </c>
      <c r="C654" t="s">
        <v>78</v>
      </c>
      <c r="D654" t="s">
        <v>40</v>
      </c>
      <c r="E654" t="s">
        <v>41</v>
      </c>
      <c r="F654" t="s">
        <v>100</v>
      </c>
      <c r="G654" t="s">
        <v>101</v>
      </c>
      <c r="H654">
        <v>2</v>
      </c>
      <c r="I654" s="3">
        <v>449</v>
      </c>
      <c r="J654" s="4">
        <v>10</v>
      </c>
      <c r="K654" s="3">
        <v>404</v>
      </c>
      <c r="L654" s="3">
        <v>808</v>
      </c>
      <c r="M654" t="s">
        <v>28</v>
      </c>
      <c r="N654" t="s">
        <v>37</v>
      </c>
      <c r="O654" s="3">
        <v>45</v>
      </c>
      <c r="P654" t="s">
        <v>30</v>
      </c>
      <c r="Q654" s="3">
        <v>52.52</v>
      </c>
      <c r="R654" s="3">
        <v>415.81</v>
      </c>
      <c r="S654" s="3">
        <v>294.67</v>
      </c>
      <c r="T654" s="3">
        <v>404</v>
      </c>
      <c r="U654" s="3">
        <v>27</v>
      </c>
      <c r="V654" t="s">
        <v>81</v>
      </c>
    </row>
    <row r="655" spans="1:22" x14ac:dyDescent="0.3">
      <c r="A655" t="s">
        <v>739</v>
      </c>
      <c r="B655" s="1">
        <v>46229</v>
      </c>
      <c r="C655" t="s">
        <v>45</v>
      </c>
      <c r="D655" t="s">
        <v>59</v>
      </c>
      <c r="E655" t="s">
        <v>60</v>
      </c>
      <c r="F655" t="s">
        <v>84</v>
      </c>
      <c r="G655" t="s">
        <v>84</v>
      </c>
      <c r="H655">
        <v>1</v>
      </c>
      <c r="I655" s="3">
        <v>299</v>
      </c>
      <c r="J655" s="4">
        <v>10</v>
      </c>
      <c r="K655" s="3">
        <v>269</v>
      </c>
      <c r="L655" s="3">
        <v>269</v>
      </c>
      <c r="M655" t="s">
        <v>28</v>
      </c>
      <c r="N655" t="s">
        <v>29</v>
      </c>
      <c r="O655" s="3">
        <v>55</v>
      </c>
      <c r="P655" t="s">
        <v>30</v>
      </c>
      <c r="Q655" s="3">
        <v>12.94</v>
      </c>
      <c r="R655" s="3">
        <v>133.04</v>
      </c>
      <c r="S655" s="3">
        <v>68.02</v>
      </c>
      <c r="T655" s="3">
        <v>269</v>
      </c>
      <c r="U655" s="3">
        <v>30</v>
      </c>
      <c r="V655" t="s">
        <v>50</v>
      </c>
    </row>
    <row r="656" spans="1:22" x14ac:dyDescent="0.3">
      <c r="A656" t="s">
        <v>740</v>
      </c>
      <c r="B656" s="1">
        <v>46149</v>
      </c>
      <c r="C656" t="s">
        <v>62</v>
      </c>
      <c r="D656" t="s">
        <v>112</v>
      </c>
      <c r="E656" t="s">
        <v>47</v>
      </c>
      <c r="F656" t="s">
        <v>100</v>
      </c>
      <c r="G656" t="s">
        <v>101</v>
      </c>
      <c r="H656">
        <v>1</v>
      </c>
      <c r="I656" s="3">
        <v>299</v>
      </c>
      <c r="J656" s="4">
        <v>15</v>
      </c>
      <c r="K656" s="3">
        <v>254</v>
      </c>
      <c r="L656" s="3">
        <v>254</v>
      </c>
      <c r="M656" t="s">
        <v>28</v>
      </c>
      <c r="N656" t="s">
        <v>37</v>
      </c>
      <c r="O656" s="3">
        <v>35</v>
      </c>
      <c r="P656" t="s">
        <v>30</v>
      </c>
      <c r="Q656" s="3">
        <v>19.190000000000001</v>
      </c>
      <c r="R656" s="3">
        <v>108.25</v>
      </c>
      <c r="S656" s="3">
        <v>91.56</v>
      </c>
      <c r="T656" s="3">
        <v>254</v>
      </c>
      <c r="U656" s="3">
        <v>19</v>
      </c>
      <c r="V656" t="s">
        <v>65</v>
      </c>
    </row>
    <row r="657" spans="1:22" x14ac:dyDescent="0.3">
      <c r="A657" t="s">
        <v>741</v>
      </c>
      <c r="B657" s="1">
        <v>46078</v>
      </c>
      <c r="C657" t="s">
        <v>95</v>
      </c>
      <c r="D657" t="s">
        <v>53</v>
      </c>
      <c r="E657" t="s">
        <v>54</v>
      </c>
      <c r="F657" t="s">
        <v>84</v>
      </c>
      <c r="G657" t="s">
        <v>84</v>
      </c>
      <c r="H657">
        <v>1</v>
      </c>
      <c r="I657" s="3">
        <v>499</v>
      </c>
      <c r="J657" s="4">
        <v>25</v>
      </c>
      <c r="K657" s="3">
        <v>374</v>
      </c>
      <c r="L657" s="3">
        <v>374</v>
      </c>
      <c r="M657" t="s">
        <v>28</v>
      </c>
      <c r="N657" t="s">
        <v>29</v>
      </c>
      <c r="O657" s="3">
        <v>65</v>
      </c>
      <c r="P657" t="s">
        <v>30</v>
      </c>
      <c r="Q657" s="3">
        <v>24.32</v>
      </c>
      <c r="R657" s="3">
        <v>159.12</v>
      </c>
      <c r="S657" s="3">
        <v>125.56</v>
      </c>
      <c r="T657" s="3">
        <v>374</v>
      </c>
      <c r="U657" s="3">
        <v>9</v>
      </c>
      <c r="V657" t="s">
        <v>96</v>
      </c>
    </row>
    <row r="658" spans="1:22" x14ac:dyDescent="0.3">
      <c r="A658" t="s">
        <v>742</v>
      </c>
      <c r="B658" s="1">
        <v>46236</v>
      </c>
      <c r="C658" t="s">
        <v>67</v>
      </c>
      <c r="D658" t="s">
        <v>46</v>
      </c>
      <c r="E658" t="s">
        <v>47</v>
      </c>
      <c r="F658" t="s">
        <v>109</v>
      </c>
      <c r="G658" t="s">
        <v>110</v>
      </c>
      <c r="H658">
        <v>1</v>
      </c>
      <c r="I658" s="3">
        <v>899</v>
      </c>
      <c r="J658" s="4">
        <v>25</v>
      </c>
      <c r="K658" s="3">
        <v>674</v>
      </c>
      <c r="L658" s="3">
        <v>674</v>
      </c>
      <c r="M658" t="s">
        <v>28</v>
      </c>
      <c r="N658" t="s">
        <v>37</v>
      </c>
      <c r="O658" s="3">
        <v>35</v>
      </c>
      <c r="P658" t="s">
        <v>30</v>
      </c>
      <c r="Q658" s="3">
        <v>35.9</v>
      </c>
      <c r="R658" s="3">
        <v>331.81</v>
      </c>
      <c r="S658" s="3">
        <v>271.29000000000002</v>
      </c>
      <c r="T658" s="3">
        <v>674</v>
      </c>
      <c r="U658" s="3">
        <v>31</v>
      </c>
      <c r="V658" t="s">
        <v>71</v>
      </c>
    </row>
    <row r="659" spans="1:22" x14ac:dyDescent="0.3">
      <c r="A659" t="s">
        <v>743</v>
      </c>
      <c r="B659" s="1">
        <v>46036</v>
      </c>
      <c r="C659" t="s">
        <v>52</v>
      </c>
      <c r="D659" t="s">
        <v>115</v>
      </c>
      <c r="E659" t="s">
        <v>116</v>
      </c>
      <c r="F659" t="s">
        <v>42</v>
      </c>
      <c r="G659" t="s">
        <v>27</v>
      </c>
      <c r="H659">
        <v>1</v>
      </c>
      <c r="I659" s="3">
        <v>249</v>
      </c>
      <c r="J659" s="4">
        <v>20</v>
      </c>
      <c r="K659" s="3">
        <v>199</v>
      </c>
      <c r="L659" s="3">
        <v>199</v>
      </c>
      <c r="M659" t="s">
        <v>28</v>
      </c>
      <c r="N659" t="s">
        <v>29</v>
      </c>
      <c r="O659" s="3">
        <v>55</v>
      </c>
      <c r="P659" t="s">
        <v>30</v>
      </c>
      <c r="Q659" s="3">
        <v>9.1199999999999992</v>
      </c>
      <c r="R659" s="3">
        <v>97.46</v>
      </c>
      <c r="S659" s="3">
        <v>37.42</v>
      </c>
      <c r="T659" s="3">
        <v>199</v>
      </c>
      <c r="U659" s="3">
        <v>3</v>
      </c>
      <c r="V659" t="s">
        <v>57</v>
      </c>
    </row>
    <row r="660" spans="1:22" x14ac:dyDescent="0.3">
      <c r="A660" t="s">
        <v>744</v>
      </c>
      <c r="B660" s="1">
        <v>46050</v>
      </c>
      <c r="C660" t="s">
        <v>52</v>
      </c>
      <c r="D660" t="s">
        <v>46</v>
      </c>
      <c r="E660" t="s">
        <v>47</v>
      </c>
      <c r="F660" t="s">
        <v>79</v>
      </c>
      <c r="G660" t="s">
        <v>80</v>
      </c>
      <c r="H660">
        <v>2</v>
      </c>
      <c r="I660" s="3">
        <v>899</v>
      </c>
      <c r="J660" s="4">
        <v>25</v>
      </c>
      <c r="K660" s="3">
        <v>674</v>
      </c>
      <c r="L660" s="3">
        <v>1348</v>
      </c>
      <c r="M660" t="s">
        <v>28</v>
      </c>
      <c r="N660" t="s">
        <v>29</v>
      </c>
      <c r="O660" s="3">
        <v>35</v>
      </c>
      <c r="P660" t="s">
        <v>30</v>
      </c>
      <c r="Q660" s="3">
        <v>103.56</v>
      </c>
      <c r="R660" s="3">
        <v>578.78</v>
      </c>
      <c r="S660" s="3">
        <v>630.66</v>
      </c>
      <c r="T660" s="3">
        <v>674</v>
      </c>
      <c r="U660" s="3">
        <v>5</v>
      </c>
      <c r="V660" t="s">
        <v>57</v>
      </c>
    </row>
    <row r="661" spans="1:22" x14ac:dyDescent="0.3">
      <c r="A661" t="s">
        <v>745</v>
      </c>
      <c r="B661" s="1">
        <v>46100</v>
      </c>
      <c r="C661" t="s">
        <v>39</v>
      </c>
      <c r="D661" t="s">
        <v>40</v>
      </c>
      <c r="E661" t="s">
        <v>41</v>
      </c>
      <c r="F661" t="s">
        <v>55</v>
      </c>
      <c r="G661" t="s">
        <v>56</v>
      </c>
      <c r="H661">
        <v>1</v>
      </c>
      <c r="I661" s="3">
        <v>449</v>
      </c>
      <c r="J661" s="4">
        <v>35</v>
      </c>
      <c r="K661" s="3">
        <v>292</v>
      </c>
      <c r="L661" s="3">
        <v>292</v>
      </c>
      <c r="M661" t="s">
        <v>76</v>
      </c>
      <c r="N661" t="s">
        <v>37</v>
      </c>
      <c r="O661" s="3">
        <v>55</v>
      </c>
      <c r="P661" t="s">
        <v>30</v>
      </c>
      <c r="Q661" s="3">
        <v>20.64</v>
      </c>
      <c r="R661" s="3">
        <v>149.69999999999999</v>
      </c>
      <c r="S661" s="3">
        <v>66.66</v>
      </c>
      <c r="T661" s="3">
        <v>292</v>
      </c>
      <c r="U661" s="3">
        <v>12</v>
      </c>
      <c r="V661" t="s">
        <v>43</v>
      </c>
    </row>
    <row r="662" spans="1:22" x14ac:dyDescent="0.3">
      <c r="A662" t="s">
        <v>746</v>
      </c>
      <c r="B662" s="1">
        <v>46238</v>
      </c>
      <c r="C662" t="s">
        <v>67</v>
      </c>
      <c r="D662" t="s">
        <v>46</v>
      </c>
      <c r="E662" t="s">
        <v>47</v>
      </c>
      <c r="F662" t="s">
        <v>79</v>
      </c>
      <c r="G662" t="s">
        <v>80</v>
      </c>
      <c r="H662">
        <v>1</v>
      </c>
      <c r="I662" s="3">
        <v>899</v>
      </c>
      <c r="J662" s="4">
        <v>35</v>
      </c>
      <c r="K662" s="3">
        <v>584</v>
      </c>
      <c r="L662" s="3">
        <v>584</v>
      </c>
      <c r="M662" t="s">
        <v>76</v>
      </c>
      <c r="N662" t="s">
        <v>29</v>
      </c>
      <c r="O662" s="3">
        <v>65</v>
      </c>
      <c r="P662" t="s">
        <v>30</v>
      </c>
      <c r="Q662" s="3">
        <v>31.55</v>
      </c>
      <c r="R662" s="3">
        <v>290.41000000000003</v>
      </c>
      <c r="S662" s="3">
        <v>197.04</v>
      </c>
      <c r="T662" s="3">
        <v>584</v>
      </c>
      <c r="U662" s="3">
        <v>32</v>
      </c>
      <c r="V662" t="s">
        <v>71</v>
      </c>
    </row>
    <row r="663" spans="1:22" x14ac:dyDescent="0.3">
      <c r="A663" t="s">
        <v>747</v>
      </c>
      <c r="B663" s="1">
        <v>46176</v>
      </c>
      <c r="C663" t="s">
        <v>78</v>
      </c>
      <c r="D663" t="s">
        <v>40</v>
      </c>
      <c r="E663" t="s">
        <v>41</v>
      </c>
      <c r="F663" t="s">
        <v>55</v>
      </c>
      <c r="G663" t="s">
        <v>56</v>
      </c>
      <c r="H663">
        <v>1</v>
      </c>
      <c r="I663" s="3">
        <v>449</v>
      </c>
      <c r="J663" s="4">
        <v>5</v>
      </c>
      <c r="K663" s="3">
        <v>427</v>
      </c>
      <c r="L663" s="3">
        <v>427</v>
      </c>
      <c r="M663" t="s">
        <v>76</v>
      </c>
      <c r="N663" t="s">
        <v>37</v>
      </c>
      <c r="O663" s="3">
        <v>55</v>
      </c>
      <c r="P663" t="s">
        <v>30</v>
      </c>
      <c r="Q663" s="3">
        <v>29.16</v>
      </c>
      <c r="R663" s="3">
        <v>187.47</v>
      </c>
      <c r="S663" s="3">
        <v>155.37</v>
      </c>
      <c r="T663" s="3">
        <v>427</v>
      </c>
      <c r="U663" s="3">
        <v>23</v>
      </c>
      <c r="V663" t="s">
        <v>81</v>
      </c>
    </row>
    <row r="664" spans="1:22" x14ac:dyDescent="0.3">
      <c r="A664" t="s">
        <v>748</v>
      </c>
      <c r="B664" s="1">
        <v>46036</v>
      </c>
      <c r="C664" t="s">
        <v>52</v>
      </c>
      <c r="D664" t="s">
        <v>59</v>
      </c>
      <c r="E664" t="s">
        <v>60</v>
      </c>
      <c r="F664" t="s">
        <v>100</v>
      </c>
      <c r="G664" t="s">
        <v>101</v>
      </c>
      <c r="H664">
        <v>1</v>
      </c>
      <c r="I664" s="3">
        <v>299</v>
      </c>
      <c r="J664" s="4">
        <v>40</v>
      </c>
      <c r="K664" s="3">
        <v>179</v>
      </c>
      <c r="L664" s="3">
        <v>179</v>
      </c>
      <c r="M664" t="s">
        <v>76</v>
      </c>
      <c r="N664" t="s">
        <v>37</v>
      </c>
      <c r="O664" s="3">
        <v>65</v>
      </c>
      <c r="P664" t="s">
        <v>30</v>
      </c>
      <c r="Q664" s="3">
        <v>10.76</v>
      </c>
      <c r="R664" s="3">
        <v>84.01</v>
      </c>
      <c r="S664" s="3">
        <v>19.23</v>
      </c>
      <c r="T664" s="3">
        <v>179</v>
      </c>
      <c r="U664" s="3">
        <v>3</v>
      </c>
      <c r="V664" t="s">
        <v>57</v>
      </c>
    </row>
    <row r="665" spans="1:22" x14ac:dyDescent="0.3">
      <c r="A665" t="s">
        <v>749</v>
      </c>
      <c r="B665" s="1">
        <v>46209</v>
      </c>
      <c r="C665" t="s">
        <v>45</v>
      </c>
      <c r="D665" t="s">
        <v>59</v>
      </c>
      <c r="E665" t="s">
        <v>60</v>
      </c>
      <c r="F665" t="s">
        <v>68</v>
      </c>
      <c r="G665" t="s">
        <v>27</v>
      </c>
      <c r="H665">
        <v>3</v>
      </c>
      <c r="I665" s="3">
        <v>299</v>
      </c>
      <c r="J665" s="4">
        <v>10</v>
      </c>
      <c r="K665" s="3">
        <v>269</v>
      </c>
      <c r="L665" s="3">
        <v>807</v>
      </c>
      <c r="M665" t="s">
        <v>28</v>
      </c>
      <c r="N665" t="s">
        <v>29</v>
      </c>
      <c r="O665" s="3">
        <v>65</v>
      </c>
      <c r="P665" t="s">
        <v>30</v>
      </c>
      <c r="Q665" s="3">
        <v>60.26</v>
      </c>
      <c r="R665" s="3">
        <v>411.08</v>
      </c>
      <c r="S665" s="3">
        <v>270.66000000000003</v>
      </c>
      <c r="T665" s="3">
        <v>269</v>
      </c>
      <c r="U665" s="3">
        <v>28</v>
      </c>
      <c r="V665" t="s">
        <v>50</v>
      </c>
    </row>
    <row r="666" spans="1:22" x14ac:dyDescent="0.3">
      <c r="A666" t="s">
        <v>750</v>
      </c>
      <c r="B666" s="1">
        <v>46029</v>
      </c>
      <c r="C666" t="s">
        <v>52</v>
      </c>
      <c r="D666" t="s">
        <v>46</v>
      </c>
      <c r="E666" t="s">
        <v>47</v>
      </c>
      <c r="F666" t="s">
        <v>68</v>
      </c>
      <c r="G666" t="s">
        <v>27</v>
      </c>
      <c r="H666">
        <v>1</v>
      </c>
      <c r="I666" s="3">
        <v>899</v>
      </c>
      <c r="J666" s="4">
        <v>20</v>
      </c>
      <c r="K666" s="3">
        <v>719</v>
      </c>
      <c r="L666" s="3">
        <v>719</v>
      </c>
      <c r="M666" t="s">
        <v>28</v>
      </c>
      <c r="N666" t="s">
        <v>29</v>
      </c>
      <c r="O666" s="3">
        <v>35</v>
      </c>
      <c r="P666" t="s">
        <v>30</v>
      </c>
      <c r="Q666" s="3">
        <v>33.56</v>
      </c>
      <c r="R666" s="3">
        <v>359.31</v>
      </c>
      <c r="S666" s="3">
        <v>291.13</v>
      </c>
      <c r="T666" s="3">
        <v>719</v>
      </c>
      <c r="U666" s="3">
        <v>2</v>
      </c>
      <c r="V666" t="s">
        <v>57</v>
      </c>
    </row>
    <row r="667" spans="1:22" x14ac:dyDescent="0.3">
      <c r="A667" t="s">
        <v>751</v>
      </c>
      <c r="B667" s="1">
        <v>46025</v>
      </c>
      <c r="C667" t="s">
        <v>52</v>
      </c>
      <c r="D667" t="s">
        <v>59</v>
      </c>
      <c r="E667" t="s">
        <v>60</v>
      </c>
      <c r="F667" t="s">
        <v>48</v>
      </c>
      <c r="G667" t="s">
        <v>49</v>
      </c>
      <c r="H667">
        <v>1</v>
      </c>
      <c r="I667" s="3">
        <v>299</v>
      </c>
      <c r="J667" s="4">
        <v>10</v>
      </c>
      <c r="K667" s="3">
        <v>269</v>
      </c>
      <c r="L667" s="3">
        <v>269</v>
      </c>
      <c r="M667" t="s">
        <v>28</v>
      </c>
      <c r="N667" t="s">
        <v>37</v>
      </c>
      <c r="O667" s="3">
        <v>65</v>
      </c>
      <c r="P667" t="s">
        <v>30</v>
      </c>
      <c r="Q667" s="3">
        <v>12</v>
      </c>
      <c r="R667" s="3">
        <v>123.43</v>
      </c>
      <c r="S667" s="3">
        <v>68.569999999999993</v>
      </c>
      <c r="T667" s="3">
        <v>269</v>
      </c>
      <c r="U667" s="3">
        <v>1</v>
      </c>
      <c r="V667" t="s">
        <v>57</v>
      </c>
    </row>
    <row r="668" spans="1:22" x14ac:dyDescent="0.3">
      <c r="A668" t="s">
        <v>752</v>
      </c>
      <c r="B668" s="1">
        <v>46133</v>
      </c>
      <c r="C668" t="s">
        <v>23</v>
      </c>
      <c r="D668" t="s">
        <v>59</v>
      </c>
      <c r="E668" t="s">
        <v>60</v>
      </c>
      <c r="F668" t="s">
        <v>100</v>
      </c>
      <c r="G668" t="s">
        <v>101</v>
      </c>
      <c r="H668">
        <v>1</v>
      </c>
      <c r="I668" s="3">
        <v>299</v>
      </c>
      <c r="J668" s="4">
        <v>40</v>
      </c>
      <c r="K668" s="3">
        <v>179</v>
      </c>
      <c r="L668" s="3">
        <v>179</v>
      </c>
      <c r="M668" t="s">
        <v>102</v>
      </c>
      <c r="N668" t="s">
        <v>29</v>
      </c>
      <c r="O668" s="3">
        <v>55</v>
      </c>
      <c r="P668" t="s">
        <v>30</v>
      </c>
      <c r="Q668" s="3">
        <v>13.26</v>
      </c>
      <c r="R668" s="3">
        <v>77.98</v>
      </c>
      <c r="S668" s="3">
        <v>32.76</v>
      </c>
      <c r="T668" s="3">
        <v>179</v>
      </c>
      <c r="U668" s="3">
        <v>17</v>
      </c>
      <c r="V668" t="s">
        <v>31</v>
      </c>
    </row>
    <row r="669" spans="1:22" x14ac:dyDescent="0.3">
      <c r="A669" t="s">
        <v>753</v>
      </c>
      <c r="B669" s="1">
        <v>46260</v>
      </c>
      <c r="C669" t="s">
        <v>67</v>
      </c>
      <c r="D669" t="s">
        <v>33</v>
      </c>
      <c r="E669" t="s">
        <v>34</v>
      </c>
      <c r="F669" t="s">
        <v>26</v>
      </c>
      <c r="G669" t="s">
        <v>27</v>
      </c>
      <c r="H669">
        <v>1</v>
      </c>
      <c r="I669" s="3">
        <v>599</v>
      </c>
      <c r="J669" s="4">
        <v>35</v>
      </c>
      <c r="K669" s="3">
        <v>389</v>
      </c>
      <c r="L669" s="3">
        <v>389</v>
      </c>
      <c r="M669" t="s">
        <v>28</v>
      </c>
      <c r="N669" t="s">
        <v>29</v>
      </c>
      <c r="O669" s="3">
        <v>65</v>
      </c>
      <c r="P669" t="s">
        <v>30</v>
      </c>
      <c r="Q669" s="3">
        <v>25.49</v>
      </c>
      <c r="R669" s="3">
        <v>177</v>
      </c>
      <c r="S669" s="3">
        <v>121.51</v>
      </c>
      <c r="T669" s="3">
        <v>389</v>
      </c>
      <c r="U669" s="3">
        <v>35</v>
      </c>
      <c r="V669" t="s">
        <v>71</v>
      </c>
    </row>
    <row r="670" spans="1:22" x14ac:dyDescent="0.3">
      <c r="A670" t="s">
        <v>754</v>
      </c>
      <c r="B670" s="1">
        <v>46261</v>
      </c>
      <c r="C670" t="s">
        <v>67</v>
      </c>
      <c r="D670" t="s">
        <v>46</v>
      </c>
      <c r="E670" t="s">
        <v>47</v>
      </c>
      <c r="F670" t="s">
        <v>42</v>
      </c>
      <c r="G670" t="s">
        <v>27</v>
      </c>
      <c r="H670">
        <v>2</v>
      </c>
      <c r="I670" s="3">
        <v>899</v>
      </c>
      <c r="J670" s="4">
        <v>40</v>
      </c>
      <c r="K670" s="3">
        <v>539</v>
      </c>
      <c r="L670" s="3">
        <v>1078</v>
      </c>
      <c r="M670" t="s">
        <v>76</v>
      </c>
      <c r="N670" t="s">
        <v>37</v>
      </c>
      <c r="O670" s="3">
        <v>45</v>
      </c>
      <c r="P670" t="s">
        <v>30</v>
      </c>
      <c r="Q670" s="3">
        <v>58.84</v>
      </c>
      <c r="R670" s="3">
        <v>543.71</v>
      </c>
      <c r="S670" s="3">
        <v>430.45</v>
      </c>
      <c r="T670" s="3">
        <v>539</v>
      </c>
      <c r="U670" s="3">
        <v>35</v>
      </c>
      <c r="V670" t="s">
        <v>71</v>
      </c>
    </row>
    <row r="671" spans="1:22" x14ac:dyDescent="0.3">
      <c r="A671" t="s">
        <v>755</v>
      </c>
      <c r="B671" s="1">
        <v>46249</v>
      </c>
      <c r="C671" t="s">
        <v>67</v>
      </c>
      <c r="D671" t="s">
        <v>40</v>
      </c>
      <c r="E671" t="s">
        <v>41</v>
      </c>
      <c r="F671" t="s">
        <v>84</v>
      </c>
      <c r="G671" t="s">
        <v>84</v>
      </c>
      <c r="H671">
        <v>1</v>
      </c>
      <c r="I671" s="3">
        <v>449</v>
      </c>
      <c r="J671" s="4">
        <v>10</v>
      </c>
      <c r="K671" s="3">
        <v>404</v>
      </c>
      <c r="L671" s="3">
        <v>404</v>
      </c>
      <c r="M671" t="s">
        <v>28</v>
      </c>
      <c r="N671" t="s">
        <v>37</v>
      </c>
      <c r="O671" s="3">
        <v>45</v>
      </c>
      <c r="P671" t="s">
        <v>30</v>
      </c>
      <c r="Q671" s="3">
        <v>25.35</v>
      </c>
      <c r="R671" s="3">
        <v>204.74</v>
      </c>
      <c r="S671" s="3">
        <v>128.91</v>
      </c>
      <c r="T671" s="3">
        <v>404</v>
      </c>
      <c r="U671" s="3">
        <v>33</v>
      </c>
      <c r="V671" t="s">
        <v>71</v>
      </c>
    </row>
    <row r="672" spans="1:22" x14ac:dyDescent="0.3">
      <c r="A672" t="s">
        <v>756</v>
      </c>
      <c r="B672" s="1">
        <v>46037</v>
      </c>
      <c r="C672" t="s">
        <v>52</v>
      </c>
      <c r="D672" t="s">
        <v>53</v>
      </c>
      <c r="E672" t="s">
        <v>54</v>
      </c>
      <c r="F672" t="s">
        <v>68</v>
      </c>
      <c r="G672" t="s">
        <v>27</v>
      </c>
      <c r="H672">
        <v>1</v>
      </c>
      <c r="I672" s="3">
        <v>499</v>
      </c>
      <c r="J672" s="4">
        <v>10</v>
      </c>
      <c r="K672" s="3">
        <v>449</v>
      </c>
      <c r="L672" s="3">
        <v>449</v>
      </c>
      <c r="M672" t="s">
        <v>28</v>
      </c>
      <c r="N672" t="s">
        <v>29</v>
      </c>
      <c r="O672" s="3">
        <v>55</v>
      </c>
      <c r="P672" t="s">
        <v>30</v>
      </c>
      <c r="Q672" s="3">
        <v>30.85</v>
      </c>
      <c r="R672" s="3">
        <v>233.15</v>
      </c>
      <c r="S672" s="3">
        <v>130</v>
      </c>
      <c r="T672" s="3">
        <v>449</v>
      </c>
      <c r="U672" s="3">
        <v>3</v>
      </c>
      <c r="V672" t="s">
        <v>57</v>
      </c>
    </row>
    <row r="673" spans="1:22" x14ac:dyDescent="0.3">
      <c r="A673" t="s">
        <v>757</v>
      </c>
      <c r="B673" s="1">
        <v>46214</v>
      </c>
      <c r="C673" t="s">
        <v>45</v>
      </c>
      <c r="D673" t="s">
        <v>74</v>
      </c>
      <c r="E673" t="s">
        <v>75</v>
      </c>
      <c r="F673" t="s">
        <v>55</v>
      </c>
      <c r="G673" t="s">
        <v>56</v>
      </c>
      <c r="H673">
        <v>1</v>
      </c>
      <c r="I673" s="3">
        <v>549</v>
      </c>
      <c r="J673" s="4">
        <v>20</v>
      </c>
      <c r="K673" s="3">
        <v>439</v>
      </c>
      <c r="L673" s="3">
        <v>439</v>
      </c>
      <c r="M673" t="s">
        <v>28</v>
      </c>
      <c r="N673" t="s">
        <v>29</v>
      </c>
      <c r="O673" s="3">
        <v>65</v>
      </c>
      <c r="P673" t="s">
        <v>30</v>
      </c>
      <c r="Q673" s="3">
        <v>25.33</v>
      </c>
      <c r="R673" s="3">
        <v>205.68</v>
      </c>
      <c r="S673" s="3">
        <v>142.99</v>
      </c>
      <c r="T673" s="3">
        <v>439</v>
      </c>
      <c r="U673" s="3">
        <v>28</v>
      </c>
      <c r="V673" t="s">
        <v>50</v>
      </c>
    </row>
    <row r="674" spans="1:22" x14ac:dyDescent="0.3">
      <c r="A674" t="s">
        <v>758</v>
      </c>
      <c r="B674" s="1">
        <v>46141</v>
      </c>
      <c r="C674" t="s">
        <v>23</v>
      </c>
      <c r="D674" t="s">
        <v>112</v>
      </c>
      <c r="E674" t="s">
        <v>47</v>
      </c>
      <c r="F674" t="s">
        <v>79</v>
      </c>
      <c r="G674" t="s">
        <v>80</v>
      </c>
      <c r="H674">
        <v>1</v>
      </c>
      <c r="I674" s="3">
        <v>299</v>
      </c>
      <c r="J674" s="4">
        <v>20</v>
      </c>
      <c r="K674" s="3">
        <v>239</v>
      </c>
      <c r="L674" s="3">
        <v>239</v>
      </c>
      <c r="M674" t="s">
        <v>28</v>
      </c>
      <c r="N674" t="s">
        <v>29</v>
      </c>
      <c r="O674" s="3">
        <v>65</v>
      </c>
      <c r="P674" t="s">
        <v>30</v>
      </c>
      <c r="Q674" s="3">
        <v>15.31</v>
      </c>
      <c r="R674" s="3">
        <v>120.66</v>
      </c>
      <c r="S674" s="3">
        <v>38.03</v>
      </c>
      <c r="T674" s="3">
        <v>239</v>
      </c>
      <c r="U674" s="3">
        <v>18</v>
      </c>
      <c r="V674" t="s">
        <v>31</v>
      </c>
    </row>
    <row r="675" spans="1:22" x14ac:dyDescent="0.3">
      <c r="A675" t="s">
        <v>759</v>
      </c>
      <c r="B675" s="1">
        <v>46050</v>
      </c>
      <c r="C675" t="s">
        <v>52</v>
      </c>
      <c r="D675" t="s">
        <v>130</v>
      </c>
      <c r="E675" t="s">
        <v>54</v>
      </c>
      <c r="F675" t="s">
        <v>109</v>
      </c>
      <c r="G675" t="s">
        <v>110</v>
      </c>
      <c r="H675">
        <v>1</v>
      </c>
      <c r="I675" s="3">
        <v>699</v>
      </c>
      <c r="J675" s="4">
        <v>15</v>
      </c>
      <c r="K675" s="3">
        <v>594</v>
      </c>
      <c r="L675" s="3">
        <v>594</v>
      </c>
      <c r="M675" t="s">
        <v>69</v>
      </c>
      <c r="N675" t="s">
        <v>37</v>
      </c>
      <c r="O675" s="3">
        <v>35</v>
      </c>
      <c r="P675" t="s">
        <v>70</v>
      </c>
      <c r="Q675" s="3">
        <v>37.11</v>
      </c>
      <c r="R675" s="3">
        <v>268.17</v>
      </c>
      <c r="S675" s="3">
        <v>253.72</v>
      </c>
      <c r="T675" s="3">
        <v>594</v>
      </c>
      <c r="U675" s="3">
        <v>5</v>
      </c>
      <c r="V675" t="s">
        <v>57</v>
      </c>
    </row>
    <row r="676" spans="1:22" x14ac:dyDescent="0.3">
      <c r="A676" t="s">
        <v>760</v>
      </c>
      <c r="B676" s="1">
        <v>46224</v>
      </c>
      <c r="C676" t="s">
        <v>45</v>
      </c>
      <c r="D676" t="s">
        <v>112</v>
      </c>
      <c r="E676" t="s">
        <v>47</v>
      </c>
      <c r="F676" t="s">
        <v>79</v>
      </c>
      <c r="G676" t="s">
        <v>80</v>
      </c>
      <c r="H676">
        <v>1</v>
      </c>
      <c r="I676" s="3">
        <v>299</v>
      </c>
      <c r="J676" s="4">
        <v>20</v>
      </c>
      <c r="K676" s="3">
        <v>239</v>
      </c>
      <c r="L676" s="3">
        <v>239</v>
      </c>
      <c r="M676" t="s">
        <v>28</v>
      </c>
      <c r="N676" t="s">
        <v>29</v>
      </c>
      <c r="O676" s="3">
        <v>55</v>
      </c>
      <c r="P676" t="s">
        <v>30</v>
      </c>
      <c r="Q676" s="3">
        <v>10.34</v>
      </c>
      <c r="R676" s="3">
        <v>105</v>
      </c>
      <c r="S676" s="3">
        <v>68.66</v>
      </c>
      <c r="T676" s="3">
        <v>239</v>
      </c>
      <c r="U676" s="3">
        <v>30</v>
      </c>
      <c r="V676" t="s">
        <v>50</v>
      </c>
    </row>
    <row r="677" spans="1:22" x14ac:dyDescent="0.3">
      <c r="A677" t="s">
        <v>761</v>
      </c>
      <c r="B677" s="1">
        <v>46061</v>
      </c>
      <c r="C677" t="s">
        <v>95</v>
      </c>
      <c r="D677" t="s">
        <v>74</v>
      </c>
      <c r="E677" t="s">
        <v>75</v>
      </c>
      <c r="F677" t="s">
        <v>68</v>
      </c>
      <c r="G677" t="s">
        <v>27</v>
      </c>
      <c r="H677">
        <v>1</v>
      </c>
      <c r="I677" s="3">
        <v>549</v>
      </c>
      <c r="J677" s="4">
        <v>5</v>
      </c>
      <c r="K677" s="3">
        <v>522</v>
      </c>
      <c r="L677" s="3">
        <v>522</v>
      </c>
      <c r="M677" t="s">
        <v>76</v>
      </c>
      <c r="N677" t="s">
        <v>37</v>
      </c>
      <c r="O677" s="3">
        <v>45</v>
      </c>
      <c r="P677" t="s">
        <v>30</v>
      </c>
      <c r="Q677" s="3">
        <v>26.46</v>
      </c>
      <c r="R677" s="3">
        <v>241.24</v>
      </c>
      <c r="S677" s="3">
        <v>209.3</v>
      </c>
      <c r="T677" s="3">
        <v>522</v>
      </c>
      <c r="U677" s="3">
        <v>6</v>
      </c>
      <c r="V677" t="s">
        <v>96</v>
      </c>
    </row>
    <row r="678" spans="1:22" x14ac:dyDescent="0.3">
      <c r="A678" t="s">
        <v>762</v>
      </c>
      <c r="B678" s="1">
        <v>46253</v>
      </c>
      <c r="C678" t="s">
        <v>67</v>
      </c>
      <c r="D678" t="s">
        <v>40</v>
      </c>
      <c r="E678" t="s">
        <v>41</v>
      </c>
      <c r="F678" t="s">
        <v>79</v>
      </c>
      <c r="G678" t="s">
        <v>80</v>
      </c>
      <c r="H678">
        <v>1</v>
      </c>
      <c r="I678" s="3">
        <v>449</v>
      </c>
      <c r="J678" s="4">
        <v>30</v>
      </c>
      <c r="K678" s="3">
        <v>314</v>
      </c>
      <c r="L678" s="3">
        <v>314</v>
      </c>
      <c r="M678" t="s">
        <v>102</v>
      </c>
      <c r="N678" t="s">
        <v>29</v>
      </c>
      <c r="O678" s="3">
        <v>65</v>
      </c>
      <c r="P678" t="s">
        <v>30</v>
      </c>
      <c r="Q678" s="3">
        <v>15.67</v>
      </c>
      <c r="R678" s="3">
        <v>152.13999999999999</v>
      </c>
      <c r="S678" s="3">
        <v>81.19</v>
      </c>
      <c r="T678" s="3">
        <v>314</v>
      </c>
      <c r="U678" s="3">
        <v>34</v>
      </c>
      <c r="V678" t="s">
        <v>71</v>
      </c>
    </row>
    <row r="679" spans="1:22" x14ac:dyDescent="0.3">
      <c r="A679" t="s">
        <v>763</v>
      </c>
      <c r="B679" s="1">
        <v>46108</v>
      </c>
      <c r="C679" t="s">
        <v>39</v>
      </c>
      <c r="D679" t="s">
        <v>33</v>
      </c>
      <c r="E679" t="s">
        <v>34</v>
      </c>
      <c r="F679" t="s">
        <v>55</v>
      </c>
      <c r="G679" t="s">
        <v>56</v>
      </c>
      <c r="H679">
        <v>1</v>
      </c>
      <c r="I679" s="3">
        <v>599</v>
      </c>
      <c r="J679" s="4">
        <v>10</v>
      </c>
      <c r="K679" s="3">
        <v>539</v>
      </c>
      <c r="L679" s="3">
        <v>539</v>
      </c>
      <c r="M679" t="s">
        <v>28</v>
      </c>
      <c r="N679" t="s">
        <v>29</v>
      </c>
      <c r="O679" s="3">
        <v>55</v>
      </c>
      <c r="P679" t="s">
        <v>30</v>
      </c>
      <c r="Q679" s="3">
        <v>36.61</v>
      </c>
      <c r="R679" s="3">
        <v>240.84</v>
      </c>
      <c r="S679" s="3">
        <v>206.55</v>
      </c>
      <c r="T679" s="3">
        <v>539</v>
      </c>
      <c r="U679" s="3">
        <v>13</v>
      </c>
      <c r="V679" t="s">
        <v>43</v>
      </c>
    </row>
    <row r="680" spans="1:22" x14ac:dyDescent="0.3">
      <c r="A680" t="s">
        <v>764</v>
      </c>
      <c r="B680" s="1">
        <v>46148</v>
      </c>
      <c r="C680" t="s">
        <v>62</v>
      </c>
      <c r="D680" t="s">
        <v>115</v>
      </c>
      <c r="E680" t="s">
        <v>116</v>
      </c>
      <c r="F680" t="s">
        <v>55</v>
      </c>
      <c r="G680" t="s">
        <v>56</v>
      </c>
      <c r="H680">
        <v>1</v>
      </c>
      <c r="I680" s="3">
        <v>249</v>
      </c>
      <c r="J680" s="4">
        <v>25</v>
      </c>
      <c r="K680" s="3">
        <v>187</v>
      </c>
      <c r="L680" s="3">
        <v>187</v>
      </c>
      <c r="M680" t="s">
        <v>69</v>
      </c>
      <c r="N680" t="s">
        <v>29</v>
      </c>
      <c r="O680" s="3">
        <v>65</v>
      </c>
      <c r="P680" t="s">
        <v>70</v>
      </c>
      <c r="Q680" s="3">
        <v>10.83</v>
      </c>
      <c r="R680" s="3">
        <v>96.4</v>
      </c>
      <c r="S680" s="3">
        <v>14.77</v>
      </c>
      <c r="T680" s="3">
        <v>187</v>
      </c>
      <c r="U680" s="3">
        <v>19</v>
      </c>
      <c r="V680" t="s">
        <v>65</v>
      </c>
    </row>
    <row r="681" spans="1:22" x14ac:dyDescent="0.3">
      <c r="A681" t="s">
        <v>765</v>
      </c>
      <c r="B681" s="1">
        <v>46047</v>
      </c>
      <c r="C681" t="s">
        <v>52</v>
      </c>
      <c r="D681" t="s">
        <v>115</v>
      </c>
      <c r="E681" t="s">
        <v>116</v>
      </c>
      <c r="F681" t="s">
        <v>55</v>
      </c>
      <c r="G681" t="s">
        <v>56</v>
      </c>
      <c r="H681">
        <v>1</v>
      </c>
      <c r="I681" s="3">
        <v>249</v>
      </c>
      <c r="J681" s="4">
        <v>20</v>
      </c>
      <c r="K681" s="3">
        <v>199</v>
      </c>
      <c r="L681" s="3">
        <v>199</v>
      </c>
      <c r="M681" t="s">
        <v>28</v>
      </c>
      <c r="N681" t="s">
        <v>29</v>
      </c>
      <c r="O681" s="3">
        <v>35</v>
      </c>
      <c r="P681" t="s">
        <v>30</v>
      </c>
      <c r="Q681" s="3">
        <v>12.97</v>
      </c>
      <c r="R681" s="3">
        <v>88.69</v>
      </c>
      <c r="S681" s="3">
        <v>62.34</v>
      </c>
      <c r="T681" s="3">
        <v>199</v>
      </c>
      <c r="U681" s="3">
        <v>4</v>
      </c>
      <c r="V681" t="s">
        <v>57</v>
      </c>
    </row>
    <row r="682" spans="1:22" x14ac:dyDescent="0.3">
      <c r="A682" t="s">
        <v>766</v>
      </c>
      <c r="B682" s="1">
        <v>46167</v>
      </c>
      <c r="C682" t="s">
        <v>62</v>
      </c>
      <c r="D682" t="s">
        <v>40</v>
      </c>
      <c r="E682" t="s">
        <v>41</v>
      </c>
      <c r="F682" t="s">
        <v>42</v>
      </c>
      <c r="G682" t="s">
        <v>27</v>
      </c>
      <c r="H682">
        <v>2</v>
      </c>
      <c r="I682" s="3">
        <v>449</v>
      </c>
      <c r="J682" s="4">
        <v>25</v>
      </c>
      <c r="K682" s="3">
        <v>337</v>
      </c>
      <c r="L682" s="3">
        <v>674</v>
      </c>
      <c r="M682" t="s">
        <v>28</v>
      </c>
      <c r="N682" t="s">
        <v>37</v>
      </c>
      <c r="O682" s="3">
        <v>65</v>
      </c>
      <c r="P682" t="s">
        <v>30</v>
      </c>
      <c r="Q682" s="3">
        <v>43.31</v>
      </c>
      <c r="R682" s="3">
        <v>328.74</v>
      </c>
      <c r="S682" s="3">
        <v>236.95</v>
      </c>
      <c r="T682" s="3">
        <v>337</v>
      </c>
      <c r="U682" s="3">
        <v>22</v>
      </c>
      <c r="V682" t="s">
        <v>65</v>
      </c>
    </row>
    <row r="683" spans="1:22" x14ac:dyDescent="0.3">
      <c r="A683" t="s">
        <v>767</v>
      </c>
      <c r="B683" s="1">
        <v>46035</v>
      </c>
      <c r="C683" t="s">
        <v>52</v>
      </c>
      <c r="D683" t="s">
        <v>115</v>
      </c>
      <c r="E683" t="s">
        <v>116</v>
      </c>
      <c r="F683" t="s">
        <v>100</v>
      </c>
      <c r="G683" t="s">
        <v>101</v>
      </c>
      <c r="H683">
        <v>1</v>
      </c>
      <c r="I683" s="3">
        <v>249</v>
      </c>
      <c r="J683" s="4">
        <v>40</v>
      </c>
      <c r="K683" s="3">
        <v>149</v>
      </c>
      <c r="L683" s="3">
        <v>149</v>
      </c>
      <c r="M683" t="s">
        <v>28</v>
      </c>
      <c r="N683" t="s">
        <v>37</v>
      </c>
      <c r="O683" s="3">
        <v>45</v>
      </c>
      <c r="P683" t="s">
        <v>30</v>
      </c>
      <c r="Q683" s="3">
        <v>9.5399999999999991</v>
      </c>
      <c r="R683" s="3">
        <v>70.48</v>
      </c>
      <c r="S683" s="3">
        <v>23.98</v>
      </c>
      <c r="T683" s="3">
        <v>149</v>
      </c>
      <c r="U683" s="3">
        <v>3</v>
      </c>
      <c r="V683" t="s">
        <v>57</v>
      </c>
    </row>
    <row r="684" spans="1:22" x14ac:dyDescent="0.3">
      <c r="A684" t="s">
        <v>768</v>
      </c>
      <c r="B684" s="1">
        <v>46234</v>
      </c>
      <c r="C684" t="s">
        <v>45</v>
      </c>
      <c r="D684" t="s">
        <v>74</v>
      </c>
      <c r="E684" t="s">
        <v>75</v>
      </c>
      <c r="F684" t="s">
        <v>55</v>
      </c>
      <c r="G684" t="s">
        <v>56</v>
      </c>
      <c r="H684">
        <v>1</v>
      </c>
      <c r="I684" s="3">
        <v>549</v>
      </c>
      <c r="J684" s="4">
        <v>20</v>
      </c>
      <c r="K684" s="3">
        <v>439</v>
      </c>
      <c r="L684" s="3">
        <v>439</v>
      </c>
      <c r="M684" t="s">
        <v>69</v>
      </c>
      <c r="N684" t="s">
        <v>37</v>
      </c>
      <c r="O684" s="3">
        <v>55</v>
      </c>
      <c r="P684" t="s">
        <v>70</v>
      </c>
      <c r="Q684" s="3">
        <v>22.47</v>
      </c>
      <c r="R684" s="3">
        <v>209.18</v>
      </c>
      <c r="S684" s="3">
        <v>152.35</v>
      </c>
      <c r="T684" s="3">
        <v>439</v>
      </c>
      <c r="U684" s="3">
        <v>31</v>
      </c>
      <c r="V684" t="s">
        <v>50</v>
      </c>
    </row>
    <row r="685" spans="1:22" x14ac:dyDescent="0.3">
      <c r="A685" t="s">
        <v>769</v>
      </c>
      <c r="B685" s="1">
        <v>46047</v>
      </c>
      <c r="C685" t="s">
        <v>52</v>
      </c>
      <c r="D685" t="s">
        <v>93</v>
      </c>
      <c r="E685" t="s">
        <v>47</v>
      </c>
      <c r="F685" t="s">
        <v>35</v>
      </c>
      <c r="G685" t="s">
        <v>36</v>
      </c>
      <c r="H685">
        <v>2</v>
      </c>
      <c r="I685" s="3">
        <v>699</v>
      </c>
      <c r="J685" s="4">
        <v>25</v>
      </c>
      <c r="K685" s="3">
        <v>524</v>
      </c>
      <c r="L685" s="3">
        <v>1048</v>
      </c>
      <c r="M685" t="s">
        <v>69</v>
      </c>
      <c r="N685" t="s">
        <v>37</v>
      </c>
      <c r="O685" s="3">
        <v>65</v>
      </c>
      <c r="P685" t="s">
        <v>70</v>
      </c>
      <c r="Q685" s="3">
        <v>65.459999999999994</v>
      </c>
      <c r="R685" s="3">
        <v>529.14</v>
      </c>
      <c r="S685" s="3">
        <v>388.4</v>
      </c>
      <c r="T685" s="3">
        <v>524</v>
      </c>
      <c r="U685" s="3">
        <v>4</v>
      </c>
      <c r="V685" t="s">
        <v>57</v>
      </c>
    </row>
    <row r="686" spans="1:22" x14ac:dyDescent="0.3">
      <c r="A686" t="s">
        <v>770</v>
      </c>
      <c r="B686" s="1">
        <v>46090</v>
      </c>
      <c r="C686" t="s">
        <v>39</v>
      </c>
      <c r="D686" t="s">
        <v>59</v>
      </c>
      <c r="E686" t="s">
        <v>60</v>
      </c>
      <c r="F686" t="s">
        <v>68</v>
      </c>
      <c r="G686" t="s">
        <v>27</v>
      </c>
      <c r="H686">
        <v>1</v>
      </c>
      <c r="I686" s="3">
        <v>299</v>
      </c>
      <c r="J686" s="4">
        <v>20</v>
      </c>
      <c r="K686" s="3">
        <v>239</v>
      </c>
      <c r="L686" s="3">
        <v>239</v>
      </c>
      <c r="M686" t="s">
        <v>76</v>
      </c>
      <c r="N686" t="s">
        <v>29</v>
      </c>
      <c r="O686" s="3">
        <v>45</v>
      </c>
      <c r="P686" t="s">
        <v>30</v>
      </c>
      <c r="Q686" s="3">
        <v>17.91</v>
      </c>
      <c r="R686" s="3">
        <v>101.81</v>
      </c>
      <c r="S686" s="3">
        <v>74.28</v>
      </c>
      <c r="T686" s="3">
        <v>239</v>
      </c>
      <c r="U686" s="3">
        <v>11</v>
      </c>
      <c r="V686" t="s">
        <v>43</v>
      </c>
    </row>
    <row r="687" spans="1:22" x14ac:dyDescent="0.3">
      <c r="A687" t="s">
        <v>771</v>
      </c>
      <c r="B687" s="1">
        <v>46089</v>
      </c>
      <c r="C687" t="s">
        <v>39</v>
      </c>
      <c r="D687" t="s">
        <v>40</v>
      </c>
      <c r="E687" t="s">
        <v>41</v>
      </c>
      <c r="F687" t="s">
        <v>79</v>
      </c>
      <c r="G687" t="s">
        <v>80</v>
      </c>
      <c r="H687">
        <v>1</v>
      </c>
      <c r="I687" s="3">
        <v>449</v>
      </c>
      <c r="J687" s="4">
        <v>20</v>
      </c>
      <c r="K687" s="3">
        <v>359</v>
      </c>
      <c r="L687" s="3">
        <v>359</v>
      </c>
      <c r="M687" t="s">
        <v>69</v>
      </c>
      <c r="N687" t="s">
        <v>37</v>
      </c>
      <c r="O687" s="3">
        <v>45</v>
      </c>
      <c r="P687" t="s">
        <v>70</v>
      </c>
      <c r="Q687" s="3">
        <v>17.350000000000001</v>
      </c>
      <c r="R687" s="3">
        <v>158.15</v>
      </c>
      <c r="S687" s="3">
        <v>138.5</v>
      </c>
      <c r="T687" s="3">
        <v>359</v>
      </c>
      <c r="U687" s="3">
        <v>10</v>
      </c>
      <c r="V687" t="s">
        <v>43</v>
      </c>
    </row>
    <row r="688" spans="1:22" x14ac:dyDescent="0.3">
      <c r="A688" t="s">
        <v>772</v>
      </c>
      <c r="B688" s="1">
        <v>46255</v>
      </c>
      <c r="C688" t="s">
        <v>67</v>
      </c>
      <c r="D688" t="s">
        <v>53</v>
      </c>
      <c r="E688" t="s">
        <v>54</v>
      </c>
      <c r="F688" t="s">
        <v>55</v>
      </c>
      <c r="G688" t="s">
        <v>56</v>
      </c>
      <c r="H688">
        <v>1</v>
      </c>
      <c r="I688" s="3">
        <v>499</v>
      </c>
      <c r="J688" s="4">
        <v>20</v>
      </c>
      <c r="K688" s="3">
        <v>399</v>
      </c>
      <c r="L688" s="3">
        <v>399</v>
      </c>
      <c r="M688" t="s">
        <v>102</v>
      </c>
      <c r="N688" t="s">
        <v>29</v>
      </c>
      <c r="O688" s="3">
        <v>45</v>
      </c>
      <c r="P688" t="s">
        <v>30</v>
      </c>
      <c r="Q688" s="3">
        <v>28.69</v>
      </c>
      <c r="R688" s="3">
        <v>178.33</v>
      </c>
      <c r="S688" s="3">
        <v>146.97999999999999</v>
      </c>
      <c r="T688" s="3">
        <v>399</v>
      </c>
      <c r="U688" s="3">
        <v>34</v>
      </c>
      <c r="V688" t="s">
        <v>71</v>
      </c>
    </row>
    <row r="689" spans="1:22" x14ac:dyDescent="0.3">
      <c r="A689" t="s">
        <v>773</v>
      </c>
      <c r="B689" s="1">
        <v>46131</v>
      </c>
      <c r="C689" t="s">
        <v>23</v>
      </c>
      <c r="D689" t="s">
        <v>130</v>
      </c>
      <c r="E689" t="s">
        <v>54</v>
      </c>
      <c r="F689" t="s">
        <v>84</v>
      </c>
      <c r="G689" t="s">
        <v>84</v>
      </c>
      <c r="H689">
        <v>1</v>
      </c>
      <c r="I689" s="3">
        <v>699</v>
      </c>
      <c r="J689" s="4">
        <v>25</v>
      </c>
      <c r="K689" s="3">
        <v>524</v>
      </c>
      <c r="L689" s="3">
        <v>524</v>
      </c>
      <c r="M689" t="s">
        <v>28</v>
      </c>
      <c r="N689" t="s">
        <v>37</v>
      </c>
      <c r="O689" s="3">
        <v>35</v>
      </c>
      <c r="P689" t="s">
        <v>30</v>
      </c>
      <c r="Q689" s="3">
        <v>40.82</v>
      </c>
      <c r="R689" s="3">
        <v>260.26</v>
      </c>
      <c r="S689" s="3">
        <v>187.92</v>
      </c>
      <c r="T689" s="3">
        <v>524</v>
      </c>
      <c r="U689" s="3">
        <v>16</v>
      </c>
      <c r="V689" t="s">
        <v>31</v>
      </c>
    </row>
    <row r="690" spans="1:22" x14ac:dyDescent="0.3">
      <c r="A690" t="s">
        <v>774</v>
      </c>
      <c r="B690" s="1">
        <v>46168</v>
      </c>
      <c r="C690" t="s">
        <v>62</v>
      </c>
      <c r="D690" t="s">
        <v>24</v>
      </c>
      <c r="E690" t="s">
        <v>25</v>
      </c>
      <c r="F690" t="s">
        <v>35</v>
      </c>
      <c r="G690" t="s">
        <v>36</v>
      </c>
      <c r="H690">
        <v>1</v>
      </c>
      <c r="I690" s="3">
        <v>349</v>
      </c>
      <c r="J690" s="4">
        <v>40</v>
      </c>
      <c r="K690" s="3">
        <v>209</v>
      </c>
      <c r="L690" s="3">
        <v>209</v>
      </c>
      <c r="M690" t="s">
        <v>102</v>
      </c>
      <c r="N690" t="s">
        <v>29</v>
      </c>
      <c r="O690" s="3">
        <v>65</v>
      </c>
      <c r="P690" t="s">
        <v>30</v>
      </c>
      <c r="Q690" s="3">
        <v>8.99</v>
      </c>
      <c r="R690" s="3">
        <v>100.69</v>
      </c>
      <c r="S690" s="3">
        <v>34.32</v>
      </c>
      <c r="T690" s="3">
        <v>209</v>
      </c>
      <c r="U690" s="3">
        <v>22</v>
      </c>
      <c r="V690" t="s">
        <v>65</v>
      </c>
    </row>
    <row r="691" spans="1:22" x14ac:dyDescent="0.3">
      <c r="A691" t="s">
        <v>775</v>
      </c>
      <c r="B691" s="1">
        <v>46133</v>
      </c>
      <c r="C691" t="s">
        <v>23</v>
      </c>
      <c r="D691" t="s">
        <v>115</v>
      </c>
      <c r="E691" t="s">
        <v>116</v>
      </c>
      <c r="F691" t="s">
        <v>48</v>
      </c>
      <c r="G691" t="s">
        <v>49</v>
      </c>
      <c r="H691">
        <v>3</v>
      </c>
      <c r="I691" s="3">
        <v>249</v>
      </c>
      <c r="J691" s="4">
        <v>35</v>
      </c>
      <c r="K691" s="3">
        <v>162</v>
      </c>
      <c r="L691" s="3">
        <v>486</v>
      </c>
      <c r="M691" t="s">
        <v>76</v>
      </c>
      <c r="N691" t="s">
        <v>37</v>
      </c>
      <c r="O691" s="3">
        <v>45</v>
      </c>
      <c r="P691" t="s">
        <v>30</v>
      </c>
      <c r="Q691" s="3">
        <v>19.850000000000001</v>
      </c>
      <c r="R691" s="3">
        <v>239.25</v>
      </c>
      <c r="S691" s="3">
        <v>181.9</v>
      </c>
      <c r="T691" s="3">
        <v>162</v>
      </c>
      <c r="U691" s="3">
        <v>17</v>
      </c>
      <c r="V691" t="s">
        <v>31</v>
      </c>
    </row>
    <row r="692" spans="1:22" x14ac:dyDescent="0.3">
      <c r="A692" t="s">
        <v>776</v>
      </c>
      <c r="B692" s="1">
        <v>46250</v>
      </c>
      <c r="C692" t="s">
        <v>67</v>
      </c>
      <c r="D692" t="s">
        <v>115</v>
      </c>
      <c r="E692" t="s">
        <v>116</v>
      </c>
      <c r="F692" t="s">
        <v>100</v>
      </c>
      <c r="G692" t="s">
        <v>101</v>
      </c>
      <c r="H692">
        <v>1</v>
      </c>
      <c r="I692" s="3">
        <v>249</v>
      </c>
      <c r="J692" s="4">
        <v>40</v>
      </c>
      <c r="K692" s="3">
        <v>149</v>
      </c>
      <c r="L692" s="3">
        <v>149</v>
      </c>
      <c r="M692" t="s">
        <v>28</v>
      </c>
      <c r="N692" t="s">
        <v>37</v>
      </c>
      <c r="O692" s="3">
        <v>55</v>
      </c>
      <c r="P692" t="s">
        <v>30</v>
      </c>
      <c r="Q692" s="3">
        <v>7.68</v>
      </c>
      <c r="R692" s="3">
        <v>71.58</v>
      </c>
      <c r="S692" s="3">
        <v>14.74</v>
      </c>
      <c r="T692" s="3">
        <v>149</v>
      </c>
      <c r="U692" s="3">
        <v>33</v>
      </c>
      <c r="V692" t="s">
        <v>71</v>
      </c>
    </row>
    <row r="693" spans="1:22" x14ac:dyDescent="0.3">
      <c r="A693" t="s">
        <v>777</v>
      </c>
      <c r="B693" s="1">
        <v>46133</v>
      </c>
      <c r="C693" t="s">
        <v>23</v>
      </c>
      <c r="D693" t="s">
        <v>24</v>
      </c>
      <c r="E693" t="s">
        <v>25</v>
      </c>
      <c r="F693" t="s">
        <v>42</v>
      </c>
      <c r="G693" t="s">
        <v>27</v>
      </c>
      <c r="H693">
        <v>1</v>
      </c>
      <c r="I693" s="3">
        <v>349</v>
      </c>
      <c r="J693" s="4">
        <v>20</v>
      </c>
      <c r="K693" s="3">
        <v>279</v>
      </c>
      <c r="L693" s="3">
        <v>279</v>
      </c>
      <c r="M693" t="s">
        <v>28</v>
      </c>
      <c r="N693" t="s">
        <v>37</v>
      </c>
      <c r="O693" s="3">
        <v>45</v>
      </c>
      <c r="P693" t="s">
        <v>30</v>
      </c>
      <c r="Q693" s="3">
        <v>18.03</v>
      </c>
      <c r="R693" s="3">
        <v>128.5</v>
      </c>
      <c r="S693" s="3">
        <v>87.47</v>
      </c>
      <c r="T693" s="3">
        <v>279</v>
      </c>
      <c r="U693" s="3">
        <v>17</v>
      </c>
      <c r="V693" t="s">
        <v>31</v>
      </c>
    </row>
    <row r="694" spans="1:22" x14ac:dyDescent="0.3">
      <c r="A694" t="s">
        <v>778</v>
      </c>
      <c r="B694" s="1">
        <v>46056</v>
      </c>
      <c r="C694" t="s">
        <v>95</v>
      </c>
      <c r="D694" t="s">
        <v>46</v>
      </c>
      <c r="E694" t="s">
        <v>47</v>
      </c>
      <c r="F694" t="s">
        <v>42</v>
      </c>
      <c r="G694" t="s">
        <v>27</v>
      </c>
      <c r="H694">
        <v>1</v>
      </c>
      <c r="I694" s="3">
        <v>899</v>
      </c>
      <c r="J694" s="4">
        <v>25</v>
      </c>
      <c r="K694" s="3">
        <v>674</v>
      </c>
      <c r="L694" s="3">
        <v>674</v>
      </c>
      <c r="M694" t="s">
        <v>69</v>
      </c>
      <c r="N694" t="s">
        <v>29</v>
      </c>
      <c r="O694" s="3">
        <v>45</v>
      </c>
      <c r="P694" t="s">
        <v>70</v>
      </c>
      <c r="Q694" s="3">
        <v>40.08</v>
      </c>
      <c r="R694" s="3">
        <v>330.42</v>
      </c>
      <c r="S694" s="3">
        <v>258.5</v>
      </c>
      <c r="T694" s="3">
        <v>674</v>
      </c>
      <c r="U694" s="3">
        <v>6</v>
      </c>
      <c r="V694" t="s">
        <v>96</v>
      </c>
    </row>
    <row r="695" spans="1:22" x14ac:dyDescent="0.3">
      <c r="A695" t="s">
        <v>779</v>
      </c>
      <c r="B695" s="1">
        <v>46133</v>
      </c>
      <c r="C695" t="s">
        <v>23</v>
      </c>
      <c r="D695" t="s">
        <v>33</v>
      </c>
      <c r="E695" t="s">
        <v>34</v>
      </c>
      <c r="F695" t="s">
        <v>42</v>
      </c>
      <c r="G695" t="s">
        <v>27</v>
      </c>
      <c r="H695">
        <v>2</v>
      </c>
      <c r="I695" s="3">
        <v>599</v>
      </c>
      <c r="J695" s="4">
        <v>25</v>
      </c>
      <c r="K695" s="3">
        <v>449</v>
      </c>
      <c r="L695" s="3">
        <v>898</v>
      </c>
      <c r="M695" t="s">
        <v>64</v>
      </c>
      <c r="N695" t="s">
        <v>29</v>
      </c>
      <c r="O695" s="3">
        <v>45</v>
      </c>
      <c r="P695" t="s">
        <v>30</v>
      </c>
      <c r="Q695" s="3">
        <v>64.53</v>
      </c>
      <c r="R695" s="3">
        <v>426.29</v>
      </c>
      <c r="S695" s="3">
        <v>362.18</v>
      </c>
      <c r="T695" s="3">
        <v>449</v>
      </c>
      <c r="U695" s="3">
        <v>17</v>
      </c>
      <c r="V695" t="s">
        <v>31</v>
      </c>
    </row>
    <row r="696" spans="1:22" x14ac:dyDescent="0.3">
      <c r="A696" t="s">
        <v>780</v>
      </c>
      <c r="B696" s="1">
        <v>46286</v>
      </c>
      <c r="C696" t="s">
        <v>86</v>
      </c>
      <c r="D696" t="s">
        <v>130</v>
      </c>
      <c r="E696" t="s">
        <v>54</v>
      </c>
      <c r="F696" t="s">
        <v>100</v>
      </c>
      <c r="G696" t="s">
        <v>101</v>
      </c>
      <c r="H696">
        <v>1</v>
      </c>
      <c r="I696" s="3">
        <v>699</v>
      </c>
      <c r="J696" s="4">
        <v>20</v>
      </c>
      <c r="K696" s="3">
        <v>559</v>
      </c>
      <c r="L696" s="3">
        <v>559</v>
      </c>
      <c r="M696" t="s">
        <v>76</v>
      </c>
      <c r="N696" t="s">
        <v>29</v>
      </c>
      <c r="O696" s="3">
        <v>65</v>
      </c>
      <c r="P696" t="s">
        <v>30</v>
      </c>
      <c r="Q696" s="3">
        <v>35.61</v>
      </c>
      <c r="R696" s="3">
        <v>261.75</v>
      </c>
      <c r="S696" s="3">
        <v>196.64</v>
      </c>
      <c r="T696" s="3">
        <v>559</v>
      </c>
      <c r="U696" s="3">
        <v>39</v>
      </c>
      <c r="V696" t="s">
        <v>87</v>
      </c>
    </row>
    <row r="697" spans="1:22" x14ac:dyDescent="0.3">
      <c r="A697" t="s">
        <v>781</v>
      </c>
      <c r="B697" s="1">
        <v>46258</v>
      </c>
      <c r="C697" t="s">
        <v>67</v>
      </c>
      <c r="D697" t="s">
        <v>74</v>
      </c>
      <c r="E697" t="s">
        <v>75</v>
      </c>
      <c r="F697" t="s">
        <v>109</v>
      </c>
      <c r="G697" t="s">
        <v>110</v>
      </c>
      <c r="H697">
        <v>1</v>
      </c>
      <c r="I697" s="3">
        <v>549</v>
      </c>
      <c r="J697" s="4">
        <v>15</v>
      </c>
      <c r="K697" s="3">
        <v>467</v>
      </c>
      <c r="L697" s="3">
        <v>467</v>
      </c>
      <c r="M697" t="s">
        <v>28</v>
      </c>
      <c r="N697" t="s">
        <v>29</v>
      </c>
      <c r="O697" s="3">
        <v>55</v>
      </c>
      <c r="P697" t="s">
        <v>30</v>
      </c>
      <c r="Q697" s="3">
        <v>26.61</v>
      </c>
      <c r="R697" s="3">
        <v>229.52</v>
      </c>
      <c r="S697" s="3">
        <v>155.87</v>
      </c>
      <c r="T697" s="3">
        <v>467</v>
      </c>
      <c r="U697" s="3">
        <v>35</v>
      </c>
      <c r="V697" t="s">
        <v>71</v>
      </c>
    </row>
    <row r="698" spans="1:22" x14ac:dyDescent="0.3">
      <c r="A698" t="s">
        <v>782</v>
      </c>
      <c r="B698" s="1">
        <v>46105</v>
      </c>
      <c r="C698" t="s">
        <v>39</v>
      </c>
      <c r="D698" t="s">
        <v>24</v>
      </c>
      <c r="E698" t="s">
        <v>25</v>
      </c>
      <c r="F698" t="s">
        <v>55</v>
      </c>
      <c r="G698" t="s">
        <v>56</v>
      </c>
      <c r="H698">
        <v>1</v>
      </c>
      <c r="I698" s="3">
        <v>349</v>
      </c>
      <c r="J698" s="4">
        <v>15</v>
      </c>
      <c r="K698" s="3">
        <v>297</v>
      </c>
      <c r="L698" s="3">
        <v>297</v>
      </c>
      <c r="M698" t="s">
        <v>69</v>
      </c>
      <c r="N698" t="s">
        <v>37</v>
      </c>
      <c r="O698" s="3">
        <v>35</v>
      </c>
      <c r="P698" t="s">
        <v>70</v>
      </c>
      <c r="Q698" s="3">
        <v>22.47</v>
      </c>
      <c r="R698" s="3">
        <v>136.96</v>
      </c>
      <c r="S698" s="3">
        <v>102.57</v>
      </c>
      <c r="T698" s="3">
        <v>297</v>
      </c>
      <c r="U698" s="3">
        <v>13</v>
      </c>
      <c r="V698" t="s">
        <v>43</v>
      </c>
    </row>
    <row r="699" spans="1:22" x14ac:dyDescent="0.3">
      <c r="A699" t="s">
        <v>783</v>
      </c>
      <c r="B699" s="1">
        <v>46064</v>
      </c>
      <c r="C699" t="s">
        <v>95</v>
      </c>
      <c r="D699" t="s">
        <v>24</v>
      </c>
      <c r="E699" t="s">
        <v>25</v>
      </c>
      <c r="F699" t="s">
        <v>42</v>
      </c>
      <c r="G699" t="s">
        <v>27</v>
      </c>
      <c r="H699">
        <v>3</v>
      </c>
      <c r="I699" s="3">
        <v>349</v>
      </c>
      <c r="J699" s="4">
        <v>25</v>
      </c>
      <c r="K699" s="3">
        <v>262</v>
      </c>
      <c r="L699" s="3">
        <v>786</v>
      </c>
      <c r="M699" t="s">
        <v>69</v>
      </c>
      <c r="N699" t="s">
        <v>29</v>
      </c>
      <c r="O699" s="3">
        <v>65</v>
      </c>
      <c r="P699" t="s">
        <v>70</v>
      </c>
      <c r="Q699" s="3">
        <v>31.75</v>
      </c>
      <c r="R699" s="3">
        <v>336.78</v>
      </c>
      <c r="S699" s="3">
        <v>352.47</v>
      </c>
      <c r="T699" s="3">
        <v>262</v>
      </c>
      <c r="U699" s="3">
        <v>7</v>
      </c>
      <c r="V699" t="s">
        <v>96</v>
      </c>
    </row>
    <row r="700" spans="1:22" x14ac:dyDescent="0.3">
      <c r="A700" t="s">
        <v>784</v>
      </c>
      <c r="B700" s="1">
        <v>46123</v>
      </c>
      <c r="C700" t="s">
        <v>23</v>
      </c>
      <c r="D700" t="s">
        <v>130</v>
      </c>
      <c r="E700" t="s">
        <v>54</v>
      </c>
      <c r="F700" t="s">
        <v>48</v>
      </c>
      <c r="G700" t="s">
        <v>49</v>
      </c>
      <c r="H700">
        <v>1</v>
      </c>
      <c r="I700" s="3">
        <v>699</v>
      </c>
      <c r="J700" s="4">
        <v>15</v>
      </c>
      <c r="K700" s="3">
        <v>594</v>
      </c>
      <c r="L700" s="3">
        <v>594</v>
      </c>
      <c r="M700" t="s">
        <v>69</v>
      </c>
      <c r="N700" t="s">
        <v>29</v>
      </c>
      <c r="O700" s="3">
        <v>65</v>
      </c>
      <c r="P700" t="s">
        <v>70</v>
      </c>
      <c r="Q700" s="3">
        <v>42.36</v>
      </c>
      <c r="R700" s="3">
        <v>299.7</v>
      </c>
      <c r="S700" s="3">
        <v>186.94</v>
      </c>
      <c r="T700" s="3">
        <v>594</v>
      </c>
      <c r="U700" s="3">
        <v>15</v>
      </c>
      <c r="V700" t="s">
        <v>31</v>
      </c>
    </row>
    <row r="701" spans="1:22" x14ac:dyDescent="0.3">
      <c r="A701" t="s">
        <v>785</v>
      </c>
      <c r="B701" s="1">
        <v>46028</v>
      </c>
      <c r="C701" t="s">
        <v>52</v>
      </c>
      <c r="D701" t="s">
        <v>46</v>
      </c>
      <c r="E701" t="s">
        <v>47</v>
      </c>
      <c r="F701" t="s">
        <v>55</v>
      </c>
      <c r="G701" t="s">
        <v>56</v>
      </c>
      <c r="H701">
        <v>3</v>
      </c>
      <c r="I701" s="3">
        <v>899</v>
      </c>
      <c r="J701" s="4">
        <v>10</v>
      </c>
      <c r="K701" s="3">
        <v>809</v>
      </c>
      <c r="L701" s="3">
        <v>2427</v>
      </c>
      <c r="M701" t="s">
        <v>28</v>
      </c>
      <c r="N701" t="s">
        <v>29</v>
      </c>
      <c r="O701" s="3">
        <v>55</v>
      </c>
      <c r="P701" t="s">
        <v>30</v>
      </c>
      <c r="Q701" s="3">
        <v>142.87</v>
      </c>
      <c r="R701" s="3">
        <v>1252.28</v>
      </c>
      <c r="S701" s="3">
        <v>976.85</v>
      </c>
      <c r="T701" s="3">
        <v>809</v>
      </c>
      <c r="U701" s="3">
        <v>2</v>
      </c>
      <c r="V701" t="s">
        <v>57</v>
      </c>
    </row>
    <row r="702" spans="1:22" x14ac:dyDescent="0.3">
      <c r="A702" t="s">
        <v>786</v>
      </c>
      <c r="B702" s="1">
        <v>46202</v>
      </c>
      <c r="C702" t="s">
        <v>78</v>
      </c>
      <c r="D702" t="s">
        <v>63</v>
      </c>
      <c r="E702" t="s">
        <v>47</v>
      </c>
      <c r="F702" t="s">
        <v>42</v>
      </c>
      <c r="G702" t="s">
        <v>27</v>
      </c>
      <c r="H702">
        <v>1</v>
      </c>
      <c r="I702" s="3">
        <v>399</v>
      </c>
      <c r="J702" s="4">
        <v>30</v>
      </c>
      <c r="K702" s="3">
        <v>279</v>
      </c>
      <c r="L702" s="3">
        <v>279</v>
      </c>
      <c r="M702" t="s">
        <v>28</v>
      </c>
      <c r="N702" t="s">
        <v>29</v>
      </c>
      <c r="O702" s="3">
        <v>65</v>
      </c>
      <c r="P702" t="s">
        <v>30</v>
      </c>
      <c r="Q702" s="3">
        <v>20.55</v>
      </c>
      <c r="R702" s="3">
        <v>132.65</v>
      </c>
      <c r="S702" s="3">
        <v>60.8</v>
      </c>
      <c r="T702" s="3">
        <v>279</v>
      </c>
      <c r="U702" s="3">
        <v>27</v>
      </c>
      <c r="V702" t="s">
        <v>81</v>
      </c>
    </row>
    <row r="703" spans="1:22" x14ac:dyDescent="0.3">
      <c r="A703" t="s">
        <v>787</v>
      </c>
      <c r="B703" s="1">
        <v>46248</v>
      </c>
      <c r="C703" t="s">
        <v>67</v>
      </c>
      <c r="D703" t="s">
        <v>40</v>
      </c>
      <c r="E703" t="s">
        <v>41</v>
      </c>
      <c r="F703" t="s">
        <v>109</v>
      </c>
      <c r="G703" t="s">
        <v>110</v>
      </c>
      <c r="H703">
        <v>1</v>
      </c>
      <c r="I703" s="3">
        <v>449</v>
      </c>
      <c r="J703" s="4">
        <v>10</v>
      </c>
      <c r="K703" s="3">
        <v>404</v>
      </c>
      <c r="L703" s="3">
        <v>404</v>
      </c>
      <c r="M703" t="s">
        <v>28</v>
      </c>
      <c r="N703" t="s">
        <v>29</v>
      </c>
      <c r="O703" s="3">
        <v>45</v>
      </c>
      <c r="P703" t="s">
        <v>30</v>
      </c>
      <c r="Q703" s="3">
        <v>24.23</v>
      </c>
      <c r="R703" s="3">
        <v>172.16</v>
      </c>
      <c r="S703" s="3">
        <v>162.61000000000001</v>
      </c>
      <c r="T703" s="3">
        <v>404</v>
      </c>
      <c r="U703" s="3">
        <v>33</v>
      </c>
      <c r="V703" t="s">
        <v>71</v>
      </c>
    </row>
    <row r="704" spans="1:22" x14ac:dyDescent="0.3">
      <c r="A704" t="s">
        <v>788</v>
      </c>
      <c r="B704" s="1">
        <v>46251</v>
      </c>
      <c r="C704" t="s">
        <v>67</v>
      </c>
      <c r="D704" t="s">
        <v>130</v>
      </c>
      <c r="E704" t="s">
        <v>54</v>
      </c>
      <c r="F704" t="s">
        <v>68</v>
      </c>
      <c r="G704" t="s">
        <v>27</v>
      </c>
      <c r="H704">
        <v>3</v>
      </c>
      <c r="I704" s="3">
        <v>699</v>
      </c>
      <c r="J704" s="4">
        <v>20</v>
      </c>
      <c r="K704" s="3">
        <v>559</v>
      </c>
      <c r="L704" s="3">
        <v>1677</v>
      </c>
      <c r="M704" t="s">
        <v>28</v>
      </c>
      <c r="N704" t="s">
        <v>37</v>
      </c>
      <c r="O704" s="3">
        <v>45</v>
      </c>
      <c r="P704" t="s">
        <v>30</v>
      </c>
      <c r="Q704" s="3">
        <v>100.27</v>
      </c>
      <c r="R704" s="3">
        <v>718.78</v>
      </c>
      <c r="S704" s="3">
        <v>812.95</v>
      </c>
      <c r="T704" s="3">
        <v>559</v>
      </c>
      <c r="U704" s="3">
        <v>34</v>
      </c>
      <c r="V704" t="s">
        <v>71</v>
      </c>
    </row>
    <row r="705" spans="1:22" x14ac:dyDescent="0.3">
      <c r="A705" t="s">
        <v>789</v>
      </c>
      <c r="B705" s="1">
        <v>46172</v>
      </c>
      <c r="C705" t="s">
        <v>62</v>
      </c>
      <c r="D705" t="s">
        <v>74</v>
      </c>
      <c r="E705" t="s">
        <v>75</v>
      </c>
      <c r="F705" t="s">
        <v>109</v>
      </c>
      <c r="G705" t="s">
        <v>110</v>
      </c>
      <c r="H705">
        <v>1</v>
      </c>
      <c r="I705" s="3">
        <v>549</v>
      </c>
      <c r="J705" s="4">
        <v>20</v>
      </c>
      <c r="K705" s="3">
        <v>439</v>
      </c>
      <c r="L705" s="3">
        <v>439</v>
      </c>
      <c r="M705" t="s">
        <v>28</v>
      </c>
      <c r="N705" t="s">
        <v>37</v>
      </c>
      <c r="O705" s="3">
        <v>35</v>
      </c>
      <c r="P705" t="s">
        <v>30</v>
      </c>
      <c r="Q705" s="3">
        <v>26.05</v>
      </c>
      <c r="R705" s="3">
        <v>197.31</v>
      </c>
      <c r="S705" s="3">
        <v>180.64</v>
      </c>
      <c r="T705" s="3">
        <v>439</v>
      </c>
      <c r="U705" s="3">
        <v>22</v>
      </c>
      <c r="V705" t="s">
        <v>65</v>
      </c>
    </row>
    <row r="706" spans="1:22" x14ac:dyDescent="0.3">
      <c r="A706" t="s">
        <v>790</v>
      </c>
      <c r="B706" s="1">
        <v>46220</v>
      </c>
      <c r="C706" t="s">
        <v>45</v>
      </c>
      <c r="D706" t="s">
        <v>53</v>
      </c>
      <c r="E706" t="s">
        <v>54</v>
      </c>
      <c r="F706" t="s">
        <v>42</v>
      </c>
      <c r="G706" t="s">
        <v>27</v>
      </c>
      <c r="H706">
        <v>1</v>
      </c>
      <c r="I706" s="3">
        <v>499</v>
      </c>
      <c r="J706" s="4">
        <v>30</v>
      </c>
      <c r="K706" s="3">
        <v>349</v>
      </c>
      <c r="L706" s="3">
        <v>349</v>
      </c>
      <c r="M706" t="s">
        <v>69</v>
      </c>
      <c r="N706" t="s">
        <v>37</v>
      </c>
      <c r="O706" s="3">
        <v>35</v>
      </c>
      <c r="P706" t="s">
        <v>70</v>
      </c>
      <c r="Q706" s="3">
        <v>22.25</v>
      </c>
      <c r="R706" s="3">
        <v>167.79</v>
      </c>
      <c r="S706" s="3">
        <v>123.96</v>
      </c>
      <c r="T706" s="3">
        <v>349</v>
      </c>
      <c r="U706" s="3">
        <v>29</v>
      </c>
      <c r="V706" t="s">
        <v>50</v>
      </c>
    </row>
    <row r="707" spans="1:22" x14ac:dyDescent="0.3">
      <c r="A707" t="s">
        <v>791</v>
      </c>
      <c r="B707" s="1">
        <v>46092</v>
      </c>
      <c r="C707" t="s">
        <v>39</v>
      </c>
      <c r="D707" t="s">
        <v>112</v>
      </c>
      <c r="E707" t="s">
        <v>47</v>
      </c>
      <c r="F707" t="s">
        <v>100</v>
      </c>
      <c r="G707" t="s">
        <v>101</v>
      </c>
      <c r="H707">
        <v>1</v>
      </c>
      <c r="I707" s="3">
        <v>299</v>
      </c>
      <c r="J707" s="4">
        <v>30</v>
      </c>
      <c r="K707" s="3">
        <v>209</v>
      </c>
      <c r="L707" s="3">
        <v>209</v>
      </c>
      <c r="M707" t="s">
        <v>28</v>
      </c>
      <c r="N707" t="s">
        <v>37</v>
      </c>
      <c r="O707" s="3">
        <v>45</v>
      </c>
      <c r="P707" t="s">
        <v>30</v>
      </c>
      <c r="Q707" s="3">
        <v>11.59</v>
      </c>
      <c r="R707" s="3">
        <v>96.56</v>
      </c>
      <c r="S707" s="3">
        <v>55.85</v>
      </c>
      <c r="T707" s="3">
        <v>209</v>
      </c>
      <c r="U707" s="3">
        <v>11</v>
      </c>
      <c r="V707" t="s">
        <v>43</v>
      </c>
    </row>
    <row r="708" spans="1:22" x14ac:dyDescent="0.3">
      <c r="A708" t="s">
        <v>792</v>
      </c>
      <c r="B708" s="1">
        <v>46134</v>
      </c>
      <c r="C708" t="s">
        <v>23</v>
      </c>
      <c r="D708" t="s">
        <v>130</v>
      </c>
      <c r="E708" t="s">
        <v>54</v>
      </c>
      <c r="F708" t="s">
        <v>42</v>
      </c>
      <c r="G708" t="s">
        <v>27</v>
      </c>
      <c r="H708">
        <v>1</v>
      </c>
      <c r="I708" s="3">
        <v>699</v>
      </c>
      <c r="J708" s="4">
        <v>35</v>
      </c>
      <c r="K708" s="3">
        <v>454</v>
      </c>
      <c r="L708" s="3">
        <v>454</v>
      </c>
      <c r="M708" t="s">
        <v>28</v>
      </c>
      <c r="N708" t="s">
        <v>37</v>
      </c>
      <c r="O708" s="3">
        <v>65</v>
      </c>
      <c r="P708" t="s">
        <v>30</v>
      </c>
      <c r="Q708" s="3">
        <v>33.15</v>
      </c>
      <c r="R708" s="3">
        <v>193.4</v>
      </c>
      <c r="S708" s="3">
        <v>162.44999999999999</v>
      </c>
      <c r="T708" s="3">
        <v>454</v>
      </c>
      <c r="U708" s="3">
        <v>17</v>
      </c>
      <c r="V708" t="s">
        <v>31</v>
      </c>
    </row>
    <row r="709" spans="1:22" x14ac:dyDescent="0.3">
      <c r="A709" t="s">
        <v>793</v>
      </c>
      <c r="B709" s="1">
        <v>46026</v>
      </c>
      <c r="C709" t="s">
        <v>52</v>
      </c>
      <c r="D709" t="s">
        <v>40</v>
      </c>
      <c r="E709" t="s">
        <v>41</v>
      </c>
      <c r="F709" t="s">
        <v>79</v>
      </c>
      <c r="G709" t="s">
        <v>80</v>
      </c>
      <c r="H709">
        <v>1</v>
      </c>
      <c r="I709" s="3">
        <v>449</v>
      </c>
      <c r="J709" s="4">
        <v>25</v>
      </c>
      <c r="K709" s="3">
        <v>337</v>
      </c>
      <c r="L709" s="3">
        <v>337</v>
      </c>
      <c r="M709" t="s">
        <v>102</v>
      </c>
      <c r="N709" t="s">
        <v>37</v>
      </c>
      <c r="O709" s="3">
        <v>45</v>
      </c>
      <c r="P709" t="s">
        <v>30</v>
      </c>
      <c r="Q709" s="3">
        <v>14.65</v>
      </c>
      <c r="R709" s="3">
        <v>164.09</v>
      </c>
      <c r="S709" s="3">
        <v>113.26</v>
      </c>
      <c r="T709" s="3">
        <v>337</v>
      </c>
      <c r="U709" s="3">
        <v>1</v>
      </c>
      <c r="V709" t="s">
        <v>57</v>
      </c>
    </row>
    <row r="710" spans="1:22" x14ac:dyDescent="0.3">
      <c r="A710" t="s">
        <v>794</v>
      </c>
      <c r="B710" s="1">
        <v>46117</v>
      </c>
      <c r="C710" t="s">
        <v>23</v>
      </c>
      <c r="D710" t="s">
        <v>33</v>
      </c>
      <c r="E710" t="s">
        <v>34</v>
      </c>
      <c r="F710" t="s">
        <v>42</v>
      </c>
      <c r="G710" t="s">
        <v>27</v>
      </c>
      <c r="H710">
        <v>1</v>
      </c>
      <c r="I710" s="3">
        <v>599</v>
      </c>
      <c r="J710" s="4">
        <v>15</v>
      </c>
      <c r="K710" s="3">
        <v>509</v>
      </c>
      <c r="L710" s="3">
        <v>509</v>
      </c>
      <c r="M710" t="s">
        <v>28</v>
      </c>
      <c r="N710" t="s">
        <v>29</v>
      </c>
      <c r="O710" s="3">
        <v>45</v>
      </c>
      <c r="P710" t="s">
        <v>30</v>
      </c>
      <c r="Q710" s="3">
        <v>26.5</v>
      </c>
      <c r="R710" s="3">
        <v>233.33</v>
      </c>
      <c r="S710" s="3">
        <v>204.17</v>
      </c>
      <c r="T710" s="3">
        <v>509</v>
      </c>
      <c r="U710" s="3">
        <v>14</v>
      </c>
      <c r="V710" t="s">
        <v>31</v>
      </c>
    </row>
    <row r="711" spans="1:22" x14ac:dyDescent="0.3">
      <c r="A711" t="s">
        <v>795</v>
      </c>
      <c r="B711" s="1">
        <v>46174</v>
      </c>
      <c r="C711" t="s">
        <v>78</v>
      </c>
      <c r="D711" t="s">
        <v>74</v>
      </c>
      <c r="E711" t="s">
        <v>75</v>
      </c>
      <c r="F711" t="s">
        <v>42</v>
      </c>
      <c r="G711" t="s">
        <v>27</v>
      </c>
      <c r="H711">
        <v>1</v>
      </c>
      <c r="I711" s="3">
        <v>549</v>
      </c>
      <c r="J711" s="4">
        <v>20</v>
      </c>
      <c r="K711" s="3">
        <v>439</v>
      </c>
      <c r="L711" s="3">
        <v>439</v>
      </c>
      <c r="M711" t="s">
        <v>69</v>
      </c>
      <c r="N711" t="s">
        <v>37</v>
      </c>
      <c r="O711" s="3">
        <v>65</v>
      </c>
      <c r="P711" t="s">
        <v>70</v>
      </c>
      <c r="Q711" s="3">
        <v>31.73</v>
      </c>
      <c r="R711" s="3">
        <v>207.35</v>
      </c>
      <c r="S711" s="3">
        <v>134.91999999999999</v>
      </c>
      <c r="T711" s="3">
        <v>439</v>
      </c>
      <c r="U711" s="3">
        <v>23</v>
      </c>
      <c r="V711" t="s">
        <v>81</v>
      </c>
    </row>
    <row r="712" spans="1:22" x14ac:dyDescent="0.3">
      <c r="A712" t="s">
        <v>796</v>
      </c>
      <c r="B712" s="1">
        <v>46159</v>
      </c>
      <c r="C712" t="s">
        <v>62</v>
      </c>
      <c r="D712" t="s">
        <v>33</v>
      </c>
      <c r="E712" t="s">
        <v>34</v>
      </c>
      <c r="F712" t="s">
        <v>109</v>
      </c>
      <c r="G712" t="s">
        <v>110</v>
      </c>
      <c r="H712">
        <v>2</v>
      </c>
      <c r="I712" s="3">
        <v>599</v>
      </c>
      <c r="J712" s="4">
        <v>30</v>
      </c>
      <c r="K712" s="3">
        <v>419</v>
      </c>
      <c r="L712" s="3">
        <v>838</v>
      </c>
      <c r="M712" t="s">
        <v>28</v>
      </c>
      <c r="N712" t="s">
        <v>37</v>
      </c>
      <c r="O712" s="3">
        <v>55</v>
      </c>
      <c r="P712" t="s">
        <v>30</v>
      </c>
      <c r="Q712" s="3">
        <v>59.13</v>
      </c>
      <c r="R712" s="3">
        <v>372.73</v>
      </c>
      <c r="S712" s="3">
        <v>351.14</v>
      </c>
      <c r="T712" s="3">
        <v>419</v>
      </c>
      <c r="U712" s="3">
        <v>20</v>
      </c>
      <c r="V712" t="s">
        <v>65</v>
      </c>
    </row>
    <row r="713" spans="1:22" x14ac:dyDescent="0.3">
      <c r="A713" t="s">
        <v>797</v>
      </c>
      <c r="B713" s="1">
        <v>46269</v>
      </c>
      <c r="C713" t="s">
        <v>86</v>
      </c>
      <c r="D713" t="s">
        <v>112</v>
      </c>
      <c r="E713" t="s">
        <v>47</v>
      </c>
      <c r="F713" t="s">
        <v>26</v>
      </c>
      <c r="G713" t="s">
        <v>27</v>
      </c>
      <c r="H713">
        <v>1</v>
      </c>
      <c r="I713" s="3">
        <v>299</v>
      </c>
      <c r="J713" s="4">
        <v>15</v>
      </c>
      <c r="K713" s="3">
        <v>254</v>
      </c>
      <c r="L713" s="3">
        <v>254</v>
      </c>
      <c r="M713" t="s">
        <v>28</v>
      </c>
      <c r="N713" t="s">
        <v>37</v>
      </c>
      <c r="O713" s="3">
        <v>45</v>
      </c>
      <c r="P713" t="s">
        <v>30</v>
      </c>
      <c r="Q713" s="3">
        <v>12.2</v>
      </c>
      <c r="R713" s="3">
        <v>114.44</v>
      </c>
      <c r="S713" s="3">
        <v>82.36</v>
      </c>
      <c r="T713" s="3">
        <v>254</v>
      </c>
      <c r="U713" s="3">
        <v>36</v>
      </c>
      <c r="V713" t="s">
        <v>87</v>
      </c>
    </row>
    <row r="714" spans="1:22" x14ac:dyDescent="0.3">
      <c r="A714" t="s">
        <v>798</v>
      </c>
      <c r="B714" s="1">
        <v>46265</v>
      </c>
      <c r="C714" t="s">
        <v>67</v>
      </c>
      <c r="D714" t="s">
        <v>112</v>
      </c>
      <c r="E714" t="s">
        <v>47</v>
      </c>
      <c r="F714" t="s">
        <v>109</v>
      </c>
      <c r="G714" t="s">
        <v>110</v>
      </c>
      <c r="H714">
        <v>2</v>
      </c>
      <c r="I714" s="3">
        <v>299</v>
      </c>
      <c r="J714" s="4">
        <v>30</v>
      </c>
      <c r="K714" s="3">
        <v>209</v>
      </c>
      <c r="L714" s="3">
        <v>418</v>
      </c>
      <c r="M714" t="s">
        <v>69</v>
      </c>
      <c r="N714" t="s">
        <v>37</v>
      </c>
      <c r="O714" s="3">
        <v>45</v>
      </c>
      <c r="P714" t="s">
        <v>70</v>
      </c>
      <c r="Q714" s="3">
        <v>30.23</v>
      </c>
      <c r="R714" s="3">
        <v>204.52</v>
      </c>
      <c r="S714" s="3">
        <v>138.25</v>
      </c>
      <c r="T714" s="3">
        <v>209</v>
      </c>
      <c r="U714" s="3">
        <v>36</v>
      </c>
      <c r="V714" t="s">
        <v>71</v>
      </c>
    </row>
    <row r="715" spans="1:22" x14ac:dyDescent="0.3">
      <c r="A715" t="s">
        <v>799</v>
      </c>
      <c r="B715" s="1">
        <v>46053</v>
      </c>
      <c r="C715" t="s">
        <v>52</v>
      </c>
      <c r="D715" t="s">
        <v>115</v>
      </c>
      <c r="E715" t="s">
        <v>116</v>
      </c>
      <c r="F715" t="s">
        <v>55</v>
      </c>
      <c r="G715" t="s">
        <v>56</v>
      </c>
      <c r="H715">
        <v>1</v>
      </c>
      <c r="I715" s="3">
        <v>249</v>
      </c>
      <c r="J715" s="4">
        <v>10</v>
      </c>
      <c r="K715" s="3">
        <v>224</v>
      </c>
      <c r="L715" s="3">
        <v>224</v>
      </c>
      <c r="M715" t="s">
        <v>76</v>
      </c>
      <c r="N715" t="s">
        <v>37</v>
      </c>
      <c r="O715" s="3">
        <v>45</v>
      </c>
      <c r="P715" t="s">
        <v>30</v>
      </c>
      <c r="Q715" s="3">
        <v>17.45</v>
      </c>
      <c r="R715" s="3">
        <v>95.63</v>
      </c>
      <c r="S715" s="3">
        <v>65.92</v>
      </c>
      <c r="T715" s="3">
        <v>224</v>
      </c>
      <c r="U715" s="3">
        <v>5</v>
      </c>
      <c r="V715" t="s">
        <v>57</v>
      </c>
    </row>
    <row r="716" spans="1:22" x14ac:dyDescent="0.3">
      <c r="A716" t="s">
        <v>800</v>
      </c>
      <c r="B716" s="1">
        <v>46062</v>
      </c>
      <c r="C716" t="s">
        <v>95</v>
      </c>
      <c r="D716" t="s">
        <v>115</v>
      </c>
      <c r="E716" t="s">
        <v>116</v>
      </c>
      <c r="F716" t="s">
        <v>48</v>
      </c>
      <c r="G716" t="s">
        <v>49</v>
      </c>
      <c r="H716">
        <v>1</v>
      </c>
      <c r="I716" s="3">
        <v>249</v>
      </c>
      <c r="J716" s="4">
        <v>25</v>
      </c>
      <c r="K716" s="3">
        <v>187</v>
      </c>
      <c r="L716" s="3">
        <v>187</v>
      </c>
      <c r="M716" t="s">
        <v>28</v>
      </c>
      <c r="N716" t="s">
        <v>37</v>
      </c>
      <c r="O716" s="3">
        <v>55</v>
      </c>
      <c r="P716" t="s">
        <v>30</v>
      </c>
      <c r="Q716" s="3">
        <v>11.18</v>
      </c>
      <c r="R716" s="3">
        <v>95.27</v>
      </c>
      <c r="S716" s="3">
        <v>25.55</v>
      </c>
      <c r="T716" s="3">
        <v>187</v>
      </c>
      <c r="U716" s="3">
        <v>7</v>
      </c>
      <c r="V716" t="s">
        <v>96</v>
      </c>
    </row>
    <row r="717" spans="1:22" x14ac:dyDescent="0.3">
      <c r="A717" t="s">
        <v>801</v>
      </c>
      <c r="B717" s="1">
        <v>46251</v>
      </c>
      <c r="C717" t="s">
        <v>67</v>
      </c>
      <c r="D717" t="s">
        <v>130</v>
      </c>
      <c r="E717" t="s">
        <v>54</v>
      </c>
      <c r="F717" t="s">
        <v>68</v>
      </c>
      <c r="G717" t="s">
        <v>27</v>
      </c>
      <c r="H717">
        <v>1</v>
      </c>
      <c r="I717" s="3">
        <v>699</v>
      </c>
      <c r="J717" s="4">
        <v>35</v>
      </c>
      <c r="K717" s="3">
        <v>454</v>
      </c>
      <c r="L717" s="3">
        <v>454</v>
      </c>
      <c r="M717" t="s">
        <v>28</v>
      </c>
      <c r="N717" t="s">
        <v>37</v>
      </c>
      <c r="O717" s="3">
        <v>55</v>
      </c>
      <c r="P717" t="s">
        <v>30</v>
      </c>
      <c r="Q717" s="3">
        <v>33.869999999999997</v>
      </c>
      <c r="R717" s="3">
        <v>205.24</v>
      </c>
      <c r="S717" s="3">
        <v>159.88999999999999</v>
      </c>
      <c r="T717" s="3">
        <v>454</v>
      </c>
      <c r="U717" s="3">
        <v>34</v>
      </c>
      <c r="V717" t="s">
        <v>71</v>
      </c>
    </row>
    <row r="718" spans="1:22" x14ac:dyDescent="0.3">
      <c r="A718" t="s">
        <v>802</v>
      </c>
      <c r="B718" s="1">
        <v>46058</v>
      </c>
      <c r="C718" t="s">
        <v>95</v>
      </c>
      <c r="D718" t="s">
        <v>40</v>
      </c>
      <c r="E718" t="s">
        <v>41</v>
      </c>
      <c r="F718" t="s">
        <v>35</v>
      </c>
      <c r="G718" t="s">
        <v>36</v>
      </c>
      <c r="H718">
        <v>1</v>
      </c>
      <c r="I718" s="3">
        <v>449</v>
      </c>
      <c r="J718" s="4">
        <v>15</v>
      </c>
      <c r="K718" s="3">
        <v>382</v>
      </c>
      <c r="L718" s="3">
        <v>382</v>
      </c>
      <c r="M718" t="s">
        <v>28</v>
      </c>
      <c r="N718" t="s">
        <v>37</v>
      </c>
      <c r="O718" s="3">
        <v>45</v>
      </c>
      <c r="P718" t="s">
        <v>30</v>
      </c>
      <c r="Q718" s="3">
        <v>26.43</v>
      </c>
      <c r="R718" s="3">
        <v>181.82</v>
      </c>
      <c r="S718" s="3">
        <v>128.75</v>
      </c>
      <c r="T718" s="3">
        <v>382</v>
      </c>
      <c r="U718" s="3">
        <v>6</v>
      </c>
      <c r="V718" t="s">
        <v>96</v>
      </c>
    </row>
    <row r="719" spans="1:22" x14ac:dyDescent="0.3">
      <c r="A719" t="s">
        <v>803</v>
      </c>
      <c r="B719" s="1">
        <v>46245</v>
      </c>
      <c r="C719" t="s">
        <v>67</v>
      </c>
      <c r="D719" t="s">
        <v>74</v>
      </c>
      <c r="E719" t="s">
        <v>75</v>
      </c>
      <c r="F719" t="s">
        <v>26</v>
      </c>
      <c r="G719" t="s">
        <v>27</v>
      </c>
      <c r="H719">
        <v>1</v>
      </c>
      <c r="I719" s="3">
        <v>549</v>
      </c>
      <c r="J719" s="4">
        <v>30</v>
      </c>
      <c r="K719" s="3">
        <v>384</v>
      </c>
      <c r="L719" s="3">
        <v>384</v>
      </c>
      <c r="M719" t="s">
        <v>28</v>
      </c>
      <c r="N719" t="s">
        <v>37</v>
      </c>
      <c r="O719" s="3">
        <v>65</v>
      </c>
      <c r="P719" t="s">
        <v>30</v>
      </c>
      <c r="Q719" s="3">
        <v>20.46</v>
      </c>
      <c r="R719" s="3">
        <v>189.87</v>
      </c>
      <c r="S719" s="3">
        <v>108.67</v>
      </c>
      <c r="T719" s="3">
        <v>384</v>
      </c>
      <c r="U719" s="3">
        <v>33</v>
      </c>
      <c r="V719" t="s">
        <v>71</v>
      </c>
    </row>
    <row r="720" spans="1:22" x14ac:dyDescent="0.3">
      <c r="A720" t="s">
        <v>804</v>
      </c>
      <c r="B720" s="1">
        <v>46028</v>
      </c>
      <c r="C720" t="s">
        <v>52</v>
      </c>
      <c r="D720" t="s">
        <v>93</v>
      </c>
      <c r="E720" t="s">
        <v>47</v>
      </c>
      <c r="F720" t="s">
        <v>79</v>
      </c>
      <c r="G720" t="s">
        <v>80</v>
      </c>
      <c r="H720">
        <v>2</v>
      </c>
      <c r="I720" s="3">
        <v>699</v>
      </c>
      <c r="J720" s="4">
        <v>15</v>
      </c>
      <c r="K720" s="3">
        <v>594</v>
      </c>
      <c r="L720" s="3">
        <v>1188</v>
      </c>
      <c r="M720" t="s">
        <v>28</v>
      </c>
      <c r="N720" t="s">
        <v>37</v>
      </c>
      <c r="O720" s="3">
        <v>55</v>
      </c>
      <c r="P720" t="s">
        <v>30</v>
      </c>
      <c r="Q720" s="3">
        <v>74.67</v>
      </c>
      <c r="R720" s="3">
        <v>571.13</v>
      </c>
      <c r="S720" s="3">
        <v>487.2</v>
      </c>
      <c r="T720" s="3">
        <v>594</v>
      </c>
      <c r="U720" s="3">
        <v>2</v>
      </c>
      <c r="V720" t="s">
        <v>57</v>
      </c>
    </row>
    <row r="721" spans="1:22" x14ac:dyDescent="0.3">
      <c r="A721" t="s">
        <v>805</v>
      </c>
      <c r="B721" s="1">
        <v>46242</v>
      </c>
      <c r="C721" t="s">
        <v>67</v>
      </c>
      <c r="D721" t="s">
        <v>112</v>
      </c>
      <c r="E721" t="s">
        <v>47</v>
      </c>
      <c r="F721" t="s">
        <v>68</v>
      </c>
      <c r="G721" t="s">
        <v>27</v>
      </c>
      <c r="H721">
        <v>1</v>
      </c>
      <c r="I721" s="3">
        <v>299</v>
      </c>
      <c r="J721" s="4">
        <v>15</v>
      </c>
      <c r="K721" s="3">
        <v>254</v>
      </c>
      <c r="L721" s="3">
        <v>254</v>
      </c>
      <c r="M721" t="s">
        <v>102</v>
      </c>
      <c r="N721" t="s">
        <v>29</v>
      </c>
      <c r="O721" s="3">
        <v>55</v>
      </c>
      <c r="P721" t="s">
        <v>30</v>
      </c>
      <c r="Q721" s="3">
        <v>18.940000000000001</v>
      </c>
      <c r="R721" s="3">
        <v>114.54</v>
      </c>
      <c r="S721" s="3">
        <v>65.52</v>
      </c>
      <c r="T721" s="3">
        <v>254</v>
      </c>
      <c r="U721" s="3">
        <v>32</v>
      </c>
      <c r="V721" t="s">
        <v>71</v>
      </c>
    </row>
    <row r="722" spans="1:22" x14ac:dyDescent="0.3">
      <c r="A722" t="s">
        <v>806</v>
      </c>
      <c r="B722" s="1">
        <v>46097</v>
      </c>
      <c r="C722" t="s">
        <v>39</v>
      </c>
      <c r="D722" t="s">
        <v>24</v>
      </c>
      <c r="E722" t="s">
        <v>25</v>
      </c>
      <c r="F722" t="s">
        <v>109</v>
      </c>
      <c r="G722" t="s">
        <v>110</v>
      </c>
      <c r="H722">
        <v>1</v>
      </c>
      <c r="I722" s="3">
        <v>349</v>
      </c>
      <c r="J722" s="4">
        <v>20</v>
      </c>
      <c r="K722" s="3">
        <v>279</v>
      </c>
      <c r="L722" s="3">
        <v>279</v>
      </c>
      <c r="M722" t="s">
        <v>28</v>
      </c>
      <c r="N722" t="s">
        <v>37</v>
      </c>
      <c r="O722" s="3">
        <v>65</v>
      </c>
      <c r="P722" t="s">
        <v>30</v>
      </c>
      <c r="Q722" s="3">
        <v>20.079999999999998</v>
      </c>
      <c r="R722" s="3">
        <v>139.58000000000001</v>
      </c>
      <c r="S722" s="3">
        <v>54.34</v>
      </c>
      <c r="T722" s="3">
        <v>279</v>
      </c>
      <c r="U722" s="3">
        <v>12</v>
      </c>
      <c r="V722" t="s">
        <v>43</v>
      </c>
    </row>
    <row r="723" spans="1:22" x14ac:dyDescent="0.3">
      <c r="A723" t="s">
        <v>807</v>
      </c>
      <c r="B723" s="1">
        <v>46026</v>
      </c>
      <c r="C723" t="s">
        <v>52</v>
      </c>
      <c r="D723" t="s">
        <v>24</v>
      </c>
      <c r="E723" t="s">
        <v>25</v>
      </c>
      <c r="F723" t="s">
        <v>68</v>
      </c>
      <c r="G723" t="s">
        <v>27</v>
      </c>
      <c r="H723">
        <v>2</v>
      </c>
      <c r="I723" s="3">
        <v>349</v>
      </c>
      <c r="J723" s="4">
        <v>25</v>
      </c>
      <c r="K723" s="3">
        <v>262</v>
      </c>
      <c r="L723" s="3">
        <v>524</v>
      </c>
      <c r="M723" t="s">
        <v>28</v>
      </c>
      <c r="N723" t="s">
        <v>37</v>
      </c>
      <c r="O723" s="3">
        <v>45</v>
      </c>
      <c r="P723" t="s">
        <v>30</v>
      </c>
      <c r="Q723" s="3">
        <v>28.98</v>
      </c>
      <c r="R723" s="3">
        <v>236.04</v>
      </c>
      <c r="S723" s="3">
        <v>213.98</v>
      </c>
      <c r="T723" s="3">
        <v>262</v>
      </c>
      <c r="U723" s="3">
        <v>1</v>
      </c>
      <c r="V723" t="s">
        <v>57</v>
      </c>
    </row>
    <row r="724" spans="1:22" x14ac:dyDescent="0.3">
      <c r="A724" t="s">
        <v>808</v>
      </c>
      <c r="B724" s="1">
        <v>46156</v>
      </c>
      <c r="C724" t="s">
        <v>62</v>
      </c>
      <c r="D724" t="s">
        <v>115</v>
      </c>
      <c r="E724" t="s">
        <v>116</v>
      </c>
      <c r="F724" t="s">
        <v>35</v>
      </c>
      <c r="G724" t="s">
        <v>36</v>
      </c>
      <c r="H724">
        <v>1</v>
      </c>
      <c r="I724" s="3">
        <v>249</v>
      </c>
      <c r="J724" s="4">
        <v>20</v>
      </c>
      <c r="K724" s="3">
        <v>199</v>
      </c>
      <c r="L724" s="3">
        <v>199</v>
      </c>
      <c r="M724" t="s">
        <v>64</v>
      </c>
      <c r="N724" t="s">
        <v>29</v>
      </c>
      <c r="O724" s="3">
        <v>35</v>
      </c>
      <c r="P724" t="s">
        <v>30</v>
      </c>
      <c r="Q724" s="3">
        <v>15.36</v>
      </c>
      <c r="R724" s="3">
        <v>94.43</v>
      </c>
      <c r="S724" s="3">
        <v>54.21</v>
      </c>
      <c r="T724" s="3">
        <v>199</v>
      </c>
      <c r="U724" s="3">
        <v>20</v>
      </c>
      <c r="V724" t="s">
        <v>65</v>
      </c>
    </row>
    <row r="725" spans="1:22" x14ac:dyDescent="0.3">
      <c r="A725" t="s">
        <v>809</v>
      </c>
      <c r="B725" s="1">
        <v>46140</v>
      </c>
      <c r="C725" t="s">
        <v>23</v>
      </c>
      <c r="D725" t="s">
        <v>40</v>
      </c>
      <c r="E725" t="s">
        <v>41</v>
      </c>
      <c r="F725" t="s">
        <v>35</v>
      </c>
      <c r="G725" t="s">
        <v>36</v>
      </c>
      <c r="H725">
        <v>1</v>
      </c>
      <c r="I725" s="3">
        <v>449</v>
      </c>
      <c r="J725" s="4">
        <v>20</v>
      </c>
      <c r="K725" s="3">
        <v>359</v>
      </c>
      <c r="L725" s="3">
        <v>359</v>
      </c>
      <c r="M725" t="s">
        <v>28</v>
      </c>
      <c r="N725" t="s">
        <v>37</v>
      </c>
      <c r="O725" s="3">
        <v>45</v>
      </c>
      <c r="P725" t="s">
        <v>30</v>
      </c>
      <c r="Q725" s="3">
        <v>26.67</v>
      </c>
      <c r="R725" s="3">
        <v>165.68</v>
      </c>
      <c r="S725" s="3">
        <v>121.65</v>
      </c>
      <c r="T725" s="3">
        <v>359</v>
      </c>
      <c r="U725" s="3">
        <v>18</v>
      </c>
      <c r="V725" t="s">
        <v>31</v>
      </c>
    </row>
    <row r="726" spans="1:22" x14ac:dyDescent="0.3">
      <c r="A726" t="s">
        <v>810</v>
      </c>
      <c r="B726" s="1">
        <v>46116</v>
      </c>
      <c r="C726" t="s">
        <v>23</v>
      </c>
      <c r="D726" t="s">
        <v>115</v>
      </c>
      <c r="E726" t="s">
        <v>116</v>
      </c>
      <c r="F726" t="s">
        <v>100</v>
      </c>
      <c r="G726" t="s">
        <v>101</v>
      </c>
      <c r="H726">
        <v>1</v>
      </c>
      <c r="I726" s="3">
        <v>249</v>
      </c>
      <c r="J726" s="4">
        <v>35</v>
      </c>
      <c r="K726" s="3">
        <v>162</v>
      </c>
      <c r="L726" s="3">
        <v>162</v>
      </c>
      <c r="M726" t="s">
        <v>102</v>
      </c>
      <c r="N726" t="s">
        <v>37</v>
      </c>
      <c r="O726" s="3">
        <v>45</v>
      </c>
      <c r="P726" t="s">
        <v>30</v>
      </c>
      <c r="Q726" s="3">
        <v>9.25</v>
      </c>
      <c r="R726" s="3">
        <v>77.7</v>
      </c>
      <c r="S726" s="3">
        <v>30.05</v>
      </c>
      <c r="T726" s="3">
        <v>162</v>
      </c>
      <c r="U726" s="3">
        <v>14</v>
      </c>
      <c r="V726" t="s">
        <v>31</v>
      </c>
    </row>
    <row r="727" spans="1:22" x14ac:dyDescent="0.3">
      <c r="A727" t="s">
        <v>811</v>
      </c>
      <c r="B727" s="1">
        <v>46084</v>
      </c>
      <c r="C727" t="s">
        <v>39</v>
      </c>
      <c r="D727" t="s">
        <v>40</v>
      </c>
      <c r="E727" t="s">
        <v>41</v>
      </c>
      <c r="F727" t="s">
        <v>42</v>
      </c>
      <c r="G727" t="s">
        <v>27</v>
      </c>
      <c r="H727">
        <v>2</v>
      </c>
      <c r="I727" s="3">
        <v>449</v>
      </c>
      <c r="J727" s="4">
        <v>20</v>
      </c>
      <c r="K727" s="3">
        <v>359</v>
      </c>
      <c r="L727" s="3">
        <v>718</v>
      </c>
      <c r="M727" t="s">
        <v>28</v>
      </c>
      <c r="N727" t="s">
        <v>37</v>
      </c>
      <c r="O727" s="3">
        <v>55</v>
      </c>
      <c r="P727" t="s">
        <v>30</v>
      </c>
      <c r="Q727" s="3">
        <v>55.53</v>
      </c>
      <c r="R727" s="3">
        <v>326.3</v>
      </c>
      <c r="S727" s="3">
        <v>281.17</v>
      </c>
      <c r="T727" s="3">
        <v>359</v>
      </c>
      <c r="U727" s="3">
        <v>10</v>
      </c>
      <c r="V727" t="s">
        <v>43</v>
      </c>
    </row>
    <row r="728" spans="1:22" x14ac:dyDescent="0.3">
      <c r="A728" t="s">
        <v>812</v>
      </c>
      <c r="B728" s="1">
        <v>46216</v>
      </c>
      <c r="C728" t="s">
        <v>45</v>
      </c>
      <c r="D728" t="s">
        <v>130</v>
      </c>
      <c r="E728" t="s">
        <v>54</v>
      </c>
      <c r="F728" t="s">
        <v>48</v>
      </c>
      <c r="G728" t="s">
        <v>49</v>
      </c>
      <c r="H728">
        <v>1</v>
      </c>
      <c r="I728" s="3">
        <v>699</v>
      </c>
      <c r="J728" s="4">
        <v>35</v>
      </c>
      <c r="K728" s="3">
        <v>454</v>
      </c>
      <c r="L728" s="3">
        <v>454</v>
      </c>
      <c r="M728" t="s">
        <v>28</v>
      </c>
      <c r="N728" t="s">
        <v>37</v>
      </c>
      <c r="O728" s="3">
        <v>65</v>
      </c>
      <c r="P728" t="s">
        <v>30</v>
      </c>
      <c r="Q728" s="3">
        <v>21.27</v>
      </c>
      <c r="R728" s="3">
        <v>195.82</v>
      </c>
      <c r="S728" s="3">
        <v>171.91</v>
      </c>
      <c r="T728" s="3">
        <v>454</v>
      </c>
      <c r="U728" s="3">
        <v>29</v>
      </c>
      <c r="V728" t="s">
        <v>50</v>
      </c>
    </row>
    <row r="729" spans="1:22" x14ac:dyDescent="0.3">
      <c r="A729" t="s">
        <v>813</v>
      </c>
      <c r="B729" s="1">
        <v>46225</v>
      </c>
      <c r="C729" t="s">
        <v>45</v>
      </c>
      <c r="D729" t="s">
        <v>53</v>
      </c>
      <c r="E729" t="s">
        <v>54</v>
      </c>
      <c r="F729" t="s">
        <v>55</v>
      </c>
      <c r="G729" t="s">
        <v>56</v>
      </c>
      <c r="H729">
        <v>1</v>
      </c>
      <c r="I729" s="3">
        <v>499</v>
      </c>
      <c r="J729" s="4">
        <v>40</v>
      </c>
      <c r="K729" s="3">
        <v>299</v>
      </c>
      <c r="L729" s="3">
        <v>299</v>
      </c>
      <c r="M729" t="s">
        <v>76</v>
      </c>
      <c r="N729" t="s">
        <v>29</v>
      </c>
      <c r="O729" s="3">
        <v>65</v>
      </c>
      <c r="P729" t="s">
        <v>30</v>
      </c>
      <c r="Q729" s="3">
        <v>20.9</v>
      </c>
      <c r="R729" s="3">
        <v>155.47</v>
      </c>
      <c r="S729" s="3">
        <v>57.63</v>
      </c>
      <c r="T729" s="3">
        <v>299</v>
      </c>
      <c r="U729" s="3">
        <v>30</v>
      </c>
      <c r="V729" t="s">
        <v>50</v>
      </c>
    </row>
    <row r="730" spans="1:22" x14ac:dyDescent="0.3">
      <c r="A730" t="s">
        <v>814</v>
      </c>
      <c r="B730" s="1">
        <v>46048</v>
      </c>
      <c r="C730" t="s">
        <v>52</v>
      </c>
      <c r="D730" t="s">
        <v>24</v>
      </c>
      <c r="E730" t="s">
        <v>25</v>
      </c>
      <c r="F730" t="s">
        <v>109</v>
      </c>
      <c r="G730" t="s">
        <v>110</v>
      </c>
      <c r="H730">
        <v>1</v>
      </c>
      <c r="I730" s="3">
        <v>349</v>
      </c>
      <c r="J730" s="4">
        <v>25</v>
      </c>
      <c r="K730" s="3">
        <v>262</v>
      </c>
      <c r="L730" s="3">
        <v>262</v>
      </c>
      <c r="M730" t="s">
        <v>28</v>
      </c>
      <c r="N730" t="s">
        <v>37</v>
      </c>
      <c r="O730" s="3">
        <v>65</v>
      </c>
      <c r="P730" t="s">
        <v>30</v>
      </c>
      <c r="Q730" s="3">
        <v>15.19</v>
      </c>
      <c r="R730" s="3">
        <v>131.97</v>
      </c>
      <c r="S730" s="3">
        <v>49.84</v>
      </c>
      <c r="T730" s="3">
        <v>262</v>
      </c>
      <c r="U730" s="3">
        <v>5</v>
      </c>
      <c r="V730" t="s">
        <v>57</v>
      </c>
    </row>
    <row r="731" spans="1:22" x14ac:dyDescent="0.3">
      <c r="A731" t="s">
        <v>815</v>
      </c>
      <c r="B731" s="1">
        <v>46195</v>
      </c>
      <c r="C731" t="s">
        <v>78</v>
      </c>
      <c r="D731" t="s">
        <v>53</v>
      </c>
      <c r="E731" t="s">
        <v>54</v>
      </c>
      <c r="F731" t="s">
        <v>42</v>
      </c>
      <c r="G731" t="s">
        <v>27</v>
      </c>
      <c r="H731">
        <v>1</v>
      </c>
      <c r="I731" s="3">
        <v>499</v>
      </c>
      <c r="J731" s="4">
        <v>25</v>
      </c>
      <c r="K731" s="3">
        <v>374</v>
      </c>
      <c r="L731" s="3">
        <v>374</v>
      </c>
      <c r="M731" t="s">
        <v>28</v>
      </c>
      <c r="N731" t="s">
        <v>29</v>
      </c>
      <c r="O731" s="3">
        <v>45</v>
      </c>
      <c r="P731" t="s">
        <v>30</v>
      </c>
      <c r="Q731" s="3">
        <v>26.82</v>
      </c>
      <c r="R731" s="3">
        <v>190.96</v>
      </c>
      <c r="S731" s="3">
        <v>111.22</v>
      </c>
      <c r="T731" s="3">
        <v>374</v>
      </c>
      <c r="U731" s="3">
        <v>26</v>
      </c>
      <c r="V731" t="s">
        <v>81</v>
      </c>
    </row>
    <row r="732" spans="1:22" x14ac:dyDescent="0.3">
      <c r="A732" t="s">
        <v>816</v>
      </c>
      <c r="B732" s="1">
        <v>46155</v>
      </c>
      <c r="C732" t="s">
        <v>62</v>
      </c>
      <c r="D732" t="s">
        <v>130</v>
      </c>
      <c r="E732" t="s">
        <v>54</v>
      </c>
      <c r="F732" t="s">
        <v>100</v>
      </c>
      <c r="G732" t="s">
        <v>101</v>
      </c>
      <c r="H732">
        <v>2</v>
      </c>
      <c r="I732" s="3">
        <v>699</v>
      </c>
      <c r="J732" s="4">
        <v>15</v>
      </c>
      <c r="K732" s="3">
        <v>594</v>
      </c>
      <c r="L732" s="3">
        <v>1188</v>
      </c>
      <c r="M732" t="s">
        <v>28</v>
      </c>
      <c r="N732" t="s">
        <v>29</v>
      </c>
      <c r="O732" s="3">
        <v>65</v>
      </c>
      <c r="P732" t="s">
        <v>30</v>
      </c>
      <c r="Q732" s="3">
        <v>85.85</v>
      </c>
      <c r="R732" s="3">
        <v>504.88</v>
      </c>
      <c r="S732" s="3">
        <v>532.27</v>
      </c>
      <c r="T732" s="3">
        <v>594</v>
      </c>
      <c r="U732" s="3">
        <v>20</v>
      </c>
      <c r="V732" t="s">
        <v>65</v>
      </c>
    </row>
    <row r="733" spans="1:22" x14ac:dyDescent="0.3">
      <c r="A733" t="s">
        <v>817</v>
      </c>
      <c r="B733" s="1">
        <v>46140</v>
      </c>
      <c r="C733" t="s">
        <v>23</v>
      </c>
      <c r="D733" t="s">
        <v>74</v>
      </c>
      <c r="E733" t="s">
        <v>75</v>
      </c>
      <c r="F733" t="s">
        <v>79</v>
      </c>
      <c r="G733" t="s">
        <v>80</v>
      </c>
      <c r="H733">
        <v>1</v>
      </c>
      <c r="I733" s="3">
        <v>549</v>
      </c>
      <c r="J733" s="4">
        <v>5</v>
      </c>
      <c r="K733" s="3">
        <v>522</v>
      </c>
      <c r="L733" s="3">
        <v>522</v>
      </c>
      <c r="M733" t="s">
        <v>28</v>
      </c>
      <c r="N733" t="s">
        <v>37</v>
      </c>
      <c r="O733" s="3">
        <v>45</v>
      </c>
      <c r="P733" t="s">
        <v>30</v>
      </c>
      <c r="Q733" s="3">
        <v>22.02</v>
      </c>
      <c r="R733" s="3">
        <v>237.77</v>
      </c>
      <c r="S733" s="3">
        <v>217.21</v>
      </c>
      <c r="T733" s="3">
        <v>522</v>
      </c>
      <c r="U733" s="3">
        <v>18</v>
      </c>
      <c r="V733" t="s">
        <v>31</v>
      </c>
    </row>
    <row r="734" spans="1:22" x14ac:dyDescent="0.3">
      <c r="A734" t="s">
        <v>818</v>
      </c>
      <c r="B734" s="1">
        <v>46234</v>
      </c>
      <c r="C734" t="s">
        <v>45</v>
      </c>
      <c r="D734" t="s">
        <v>93</v>
      </c>
      <c r="E734" t="s">
        <v>47</v>
      </c>
      <c r="F734" t="s">
        <v>35</v>
      </c>
      <c r="G734" t="s">
        <v>36</v>
      </c>
      <c r="H734">
        <v>1</v>
      </c>
      <c r="I734" s="3">
        <v>699</v>
      </c>
      <c r="J734" s="4">
        <v>20</v>
      </c>
      <c r="K734" s="3">
        <v>559</v>
      </c>
      <c r="L734" s="3">
        <v>559</v>
      </c>
      <c r="M734" t="s">
        <v>76</v>
      </c>
      <c r="N734" t="s">
        <v>37</v>
      </c>
      <c r="O734" s="3">
        <v>45</v>
      </c>
      <c r="P734" t="s">
        <v>30</v>
      </c>
      <c r="Q734" s="3">
        <v>40.36</v>
      </c>
      <c r="R734" s="3">
        <v>282.33</v>
      </c>
      <c r="S734" s="3">
        <v>191.31</v>
      </c>
      <c r="T734" s="3">
        <v>559</v>
      </c>
      <c r="U734" s="3">
        <v>31</v>
      </c>
      <c r="V734" t="s">
        <v>50</v>
      </c>
    </row>
    <row r="735" spans="1:22" x14ac:dyDescent="0.3">
      <c r="A735" t="s">
        <v>819</v>
      </c>
      <c r="B735" s="1">
        <v>46247</v>
      </c>
      <c r="C735" t="s">
        <v>67</v>
      </c>
      <c r="D735" t="s">
        <v>24</v>
      </c>
      <c r="E735" t="s">
        <v>25</v>
      </c>
      <c r="F735" t="s">
        <v>109</v>
      </c>
      <c r="G735" t="s">
        <v>110</v>
      </c>
      <c r="H735">
        <v>1</v>
      </c>
      <c r="I735" s="3">
        <v>349</v>
      </c>
      <c r="J735" s="4">
        <v>10</v>
      </c>
      <c r="K735" s="3">
        <v>314</v>
      </c>
      <c r="L735" s="3">
        <v>314</v>
      </c>
      <c r="M735" t="s">
        <v>76</v>
      </c>
      <c r="N735" t="s">
        <v>37</v>
      </c>
      <c r="O735" s="3">
        <v>55</v>
      </c>
      <c r="P735" t="s">
        <v>30</v>
      </c>
      <c r="Q735" s="3">
        <v>16.149999999999999</v>
      </c>
      <c r="R735" s="3">
        <v>162.07</v>
      </c>
      <c r="S735" s="3">
        <v>80.78</v>
      </c>
      <c r="T735" s="3">
        <v>314</v>
      </c>
      <c r="U735" s="3">
        <v>33</v>
      </c>
      <c r="V735" t="s">
        <v>71</v>
      </c>
    </row>
    <row r="736" spans="1:22" x14ac:dyDescent="0.3">
      <c r="A736" t="s">
        <v>820</v>
      </c>
      <c r="B736" s="1">
        <v>46042</v>
      </c>
      <c r="C736" t="s">
        <v>52</v>
      </c>
      <c r="D736" t="s">
        <v>33</v>
      </c>
      <c r="E736" t="s">
        <v>34</v>
      </c>
      <c r="F736" t="s">
        <v>42</v>
      </c>
      <c r="G736" t="s">
        <v>27</v>
      </c>
      <c r="H736">
        <v>1</v>
      </c>
      <c r="I736" s="3">
        <v>599</v>
      </c>
      <c r="J736" s="4">
        <v>5</v>
      </c>
      <c r="K736" s="3">
        <v>569</v>
      </c>
      <c r="L736" s="3">
        <v>569</v>
      </c>
      <c r="M736" t="s">
        <v>28</v>
      </c>
      <c r="N736" t="s">
        <v>29</v>
      </c>
      <c r="O736" s="3">
        <v>45</v>
      </c>
      <c r="P736" t="s">
        <v>30</v>
      </c>
      <c r="Q736" s="3">
        <v>31.07</v>
      </c>
      <c r="R736" s="3">
        <v>269.45</v>
      </c>
      <c r="S736" s="3">
        <v>223.48</v>
      </c>
      <c r="T736" s="3">
        <v>569</v>
      </c>
      <c r="U736" s="3">
        <v>4</v>
      </c>
      <c r="V736" t="s">
        <v>57</v>
      </c>
    </row>
    <row r="737" spans="1:22" x14ac:dyDescent="0.3">
      <c r="A737" t="s">
        <v>821</v>
      </c>
      <c r="B737" s="1">
        <v>46135</v>
      </c>
      <c r="C737" t="s">
        <v>23</v>
      </c>
      <c r="D737" t="s">
        <v>93</v>
      </c>
      <c r="E737" t="s">
        <v>47</v>
      </c>
      <c r="F737" t="s">
        <v>48</v>
      </c>
      <c r="G737" t="s">
        <v>49</v>
      </c>
      <c r="H737">
        <v>1</v>
      </c>
      <c r="I737" s="3">
        <v>699</v>
      </c>
      <c r="J737" s="4">
        <v>15</v>
      </c>
      <c r="K737" s="3">
        <v>594</v>
      </c>
      <c r="L737" s="3">
        <v>594</v>
      </c>
      <c r="M737" t="s">
        <v>28</v>
      </c>
      <c r="N737" t="s">
        <v>29</v>
      </c>
      <c r="O737" s="3">
        <v>35</v>
      </c>
      <c r="P737" t="s">
        <v>30</v>
      </c>
      <c r="Q737" s="3">
        <v>26.13</v>
      </c>
      <c r="R737" s="3">
        <v>252.72</v>
      </c>
      <c r="S737" s="3">
        <v>280.14999999999998</v>
      </c>
      <c r="T737" s="3">
        <v>594</v>
      </c>
      <c r="U737" s="3">
        <v>17</v>
      </c>
      <c r="V737" t="s">
        <v>31</v>
      </c>
    </row>
    <row r="738" spans="1:22" x14ac:dyDescent="0.3">
      <c r="A738" t="s">
        <v>822</v>
      </c>
      <c r="B738" s="1">
        <v>46162</v>
      </c>
      <c r="C738" t="s">
        <v>62</v>
      </c>
      <c r="D738" t="s">
        <v>53</v>
      </c>
      <c r="E738" t="s">
        <v>54</v>
      </c>
      <c r="F738" t="s">
        <v>26</v>
      </c>
      <c r="G738" t="s">
        <v>27</v>
      </c>
      <c r="H738">
        <v>1</v>
      </c>
      <c r="I738" s="3">
        <v>499</v>
      </c>
      <c r="J738" s="4">
        <v>15</v>
      </c>
      <c r="K738" s="3">
        <v>424</v>
      </c>
      <c r="L738" s="3">
        <v>424</v>
      </c>
      <c r="M738" t="s">
        <v>69</v>
      </c>
      <c r="N738" t="s">
        <v>29</v>
      </c>
      <c r="O738" s="3">
        <v>35</v>
      </c>
      <c r="P738" t="s">
        <v>70</v>
      </c>
      <c r="Q738" s="3">
        <v>27.1</v>
      </c>
      <c r="R738" s="3">
        <v>212.4</v>
      </c>
      <c r="S738" s="3">
        <v>149.5</v>
      </c>
      <c r="T738" s="3">
        <v>424</v>
      </c>
      <c r="U738" s="3">
        <v>21</v>
      </c>
      <c r="V738" t="s">
        <v>65</v>
      </c>
    </row>
    <row r="739" spans="1:22" x14ac:dyDescent="0.3">
      <c r="A739" t="s">
        <v>823</v>
      </c>
      <c r="B739" s="1">
        <v>46069</v>
      </c>
      <c r="C739" t="s">
        <v>95</v>
      </c>
      <c r="D739" t="s">
        <v>46</v>
      </c>
      <c r="E739" t="s">
        <v>47</v>
      </c>
      <c r="F739" t="s">
        <v>68</v>
      </c>
      <c r="G739" t="s">
        <v>27</v>
      </c>
      <c r="H739">
        <v>3</v>
      </c>
      <c r="I739" s="3">
        <v>899</v>
      </c>
      <c r="J739" s="4">
        <v>15</v>
      </c>
      <c r="K739" s="3">
        <v>764</v>
      </c>
      <c r="L739" s="3">
        <v>2292</v>
      </c>
      <c r="M739" t="s">
        <v>64</v>
      </c>
      <c r="N739" t="s">
        <v>29</v>
      </c>
      <c r="O739" s="3">
        <v>45</v>
      </c>
      <c r="P739" t="s">
        <v>30</v>
      </c>
      <c r="Q739" s="3">
        <v>139.13</v>
      </c>
      <c r="R739" s="3">
        <v>991.16</v>
      </c>
      <c r="S739" s="3">
        <v>1116.71</v>
      </c>
      <c r="T739" s="3">
        <v>764</v>
      </c>
      <c r="U739" s="3">
        <v>8</v>
      </c>
      <c r="V739" t="s">
        <v>96</v>
      </c>
    </row>
    <row r="740" spans="1:22" x14ac:dyDescent="0.3">
      <c r="A740" t="s">
        <v>824</v>
      </c>
      <c r="B740" s="1">
        <v>46023</v>
      </c>
      <c r="C740" t="s">
        <v>52</v>
      </c>
      <c r="D740" t="s">
        <v>40</v>
      </c>
      <c r="E740" t="s">
        <v>41</v>
      </c>
      <c r="F740" t="s">
        <v>26</v>
      </c>
      <c r="G740" t="s">
        <v>27</v>
      </c>
      <c r="H740">
        <v>1</v>
      </c>
      <c r="I740" s="3">
        <v>449</v>
      </c>
      <c r="J740" s="4">
        <v>20</v>
      </c>
      <c r="K740" s="3">
        <v>359</v>
      </c>
      <c r="L740" s="3">
        <v>359</v>
      </c>
      <c r="M740" t="s">
        <v>102</v>
      </c>
      <c r="N740" t="s">
        <v>37</v>
      </c>
      <c r="O740" s="3">
        <v>45</v>
      </c>
      <c r="P740" t="s">
        <v>30</v>
      </c>
      <c r="Q740" s="3">
        <v>19.579999999999998</v>
      </c>
      <c r="R740" s="3">
        <v>164.79</v>
      </c>
      <c r="S740" s="3">
        <v>129.63</v>
      </c>
      <c r="T740" s="3">
        <v>359</v>
      </c>
      <c r="U740" s="3">
        <v>1</v>
      </c>
      <c r="V740" t="s">
        <v>57</v>
      </c>
    </row>
    <row r="741" spans="1:22" x14ac:dyDescent="0.3">
      <c r="A741" t="s">
        <v>825</v>
      </c>
      <c r="B741" s="1">
        <v>46112</v>
      </c>
      <c r="C741" t="s">
        <v>39</v>
      </c>
      <c r="D741" t="s">
        <v>33</v>
      </c>
      <c r="E741" t="s">
        <v>34</v>
      </c>
      <c r="F741" t="s">
        <v>100</v>
      </c>
      <c r="G741" t="s">
        <v>101</v>
      </c>
      <c r="H741">
        <v>1</v>
      </c>
      <c r="I741" s="3">
        <v>599</v>
      </c>
      <c r="J741" s="4">
        <v>25</v>
      </c>
      <c r="K741" s="3">
        <v>449</v>
      </c>
      <c r="L741" s="3">
        <v>449</v>
      </c>
      <c r="M741" t="s">
        <v>28</v>
      </c>
      <c r="N741" t="s">
        <v>29</v>
      </c>
      <c r="O741" s="3">
        <v>45</v>
      </c>
      <c r="P741" t="s">
        <v>30</v>
      </c>
      <c r="Q741" s="3">
        <v>20.14</v>
      </c>
      <c r="R741" s="3">
        <v>192.41</v>
      </c>
      <c r="S741" s="3">
        <v>191.45</v>
      </c>
      <c r="T741" s="3">
        <v>449</v>
      </c>
      <c r="U741" s="3">
        <v>14</v>
      </c>
      <c r="V741" t="s">
        <v>43</v>
      </c>
    </row>
    <row r="742" spans="1:22" x14ac:dyDescent="0.3">
      <c r="A742" t="s">
        <v>826</v>
      </c>
      <c r="B742" s="1">
        <v>46164</v>
      </c>
      <c r="C742" t="s">
        <v>62</v>
      </c>
      <c r="D742" t="s">
        <v>74</v>
      </c>
      <c r="E742" t="s">
        <v>75</v>
      </c>
      <c r="F742" t="s">
        <v>68</v>
      </c>
      <c r="G742" t="s">
        <v>27</v>
      </c>
      <c r="H742">
        <v>1</v>
      </c>
      <c r="I742" s="3">
        <v>549</v>
      </c>
      <c r="J742" s="4">
        <v>20</v>
      </c>
      <c r="K742" s="3">
        <v>439</v>
      </c>
      <c r="L742" s="3">
        <v>439</v>
      </c>
      <c r="M742" t="s">
        <v>28</v>
      </c>
      <c r="N742" t="s">
        <v>29</v>
      </c>
      <c r="O742" s="3">
        <v>65</v>
      </c>
      <c r="P742" t="s">
        <v>30</v>
      </c>
      <c r="Q742" s="3">
        <v>21.54</v>
      </c>
      <c r="R742" s="3">
        <v>225.27</v>
      </c>
      <c r="S742" s="3">
        <v>127.19</v>
      </c>
      <c r="T742" s="3">
        <v>439</v>
      </c>
      <c r="U742" s="3">
        <v>21</v>
      </c>
      <c r="V742" t="s">
        <v>65</v>
      </c>
    </row>
    <row r="743" spans="1:22" x14ac:dyDescent="0.3">
      <c r="A743" t="s">
        <v>827</v>
      </c>
      <c r="B743" s="1">
        <v>46060</v>
      </c>
      <c r="C743" t="s">
        <v>95</v>
      </c>
      <c r="D743" t="s">
        <v>74</v>
      </c>
      <c r="E743" t="s">
        <v>75</v>
      </c>
      <c r="F743" t="s">
        <v>42</v>
      </c>
      <c r="G743" t="s">
        <v>27</v>
      </c>
      <c r="H743">
        <v>1</v>
      </c>
      <c r="I743" s="3">
        <v>549</v>
      </c>
      <c r="J743" s="4">
        <v>20</v>
      </c>
      <c r="K743" s="3">
        <v>439</v>
      </c>
      <c r="L743" s="3">
        <v>439</v>
      </c>
      <c r="M743" t="s">
        <v>76</v>
      </c>
      <c r="N743" t="s">
        <v>37</v>
      </c>
      <c r="O743" s="3">
        <v>35</v>
      </c>
      <c r="P743" t="s">
        <v>30</v>
      </c>
      <c r="Q743" s="3">
        <v>33.53</v>
      </c>
      <c r="R743" s="3">
        <v>212.21</v>
      </c>
      <c r="S743" s="3">
        <v>158.26</v>
      </c>
      <c r="T743" s="3">
        <v>439</v>
      </c>
      <c r="U743" s="3">
        <v>6</v>
      </c>
      <c r="V743" t="s">
        <v>96</v>
      </c>
    </row>
    <row r="744" spans="1:22" x14ac:dyDescent="0.3">
      <c r="A744" t="s">
        <v>828</v>
      </c>
      <c r="B744" s="1">
        <v>46161</v>
      </c>
      <c r="C744" t="s">
        <v>62</v>
      </c>
      <c r="D744" t="s">
        <v>112</v>
      </c>
      <c r="E744" t="s">
        <v>47</v>
      </c>
      <c r="F744" t="s">
        <v>48</v>
      </c>
      <c r="G744" t="s">
        <v>49</v>
      </c>
      <c r="H744">
        <v>3</v>
      </c>
      <c r="I744" s="3">
        <v>299</v>
      </c>
      <c r="J744" s="4">
        <v>10</v>
      </c>
      <c r="K744" s="3">
        <v>269</v>
      </c>
      <c r="L744" s="3">
        <v>807</v>
      </c>
      <c r="M744" t="s">
        <v>28</v>
      </c>
      <c r="N744" t="s">
        <v>37</v>
      </c>
      <c r="O744" s="3">
        <v>55</v>
      </c>
      <c r="P744" t="s">
        <v>30</v>
      </c>
      <c r="Q744" s="3">
        <v>55.36</v>
      </c>
      <c r="R744" s="3">
        <v>364.36</v>
      </c>
      <c r="S744" s="3">
        <v>332.28</v>
      </c>
      <c r="T744" s="3">
        <v>269</v>
      </c>
      <c r="U744" s="3">
        <v>21</v>
      </c>
      <c r="V744" t="s">
        <v>65</v>
      </c>
    </row>
    <row r="745" spans="1:22" x14ac:dyDescent="0.3">
      <c r="A745" t="s">
        <v>829</v>
      </c>
      <c r="B745" s="1">
        <v>46281</v>
      </c>
      <c r="C745" t="s">
        <v>86</v>
      </c>
      <c r="D745" t="s">
        <v>53</v>
      </c>
      <c r="E745" t="s">
        <v>54</v>
      </c>
      <c r="F745" t="s">
        <v>84</v>
      </c>
      <c r="G745" t="s">
        <v>84</v>
      </c>
      <c r="H745">
        <v>1</v>
      </c>
      <c r="I745" s="3">
        <v>499</v>
      </c>
      <c r="J745" s="4">
        <v>30</v>
      </c>
      <c r="K745" s="3">
        <v>349</v>
      </c>
      <c r="L745" s="3">
        <v>349</v>
      </c>
      <c r="M745" t="s">
        <v>28</v>
      </c>
      <c r="N745" t="s">
        <v>37</v>
      </c>
      <c r="O745" s="3">
        <v>45</v>
      </c>
      <c r="P745" t="s">
        <v>30</v>
      </c>
      <c r="Q745" s="3">
        <v>25.91</v>
      </c>
      <c r="R745" s="3">
        <v>161.75</v>
      </c>
      <c r="S745" s="3">
        <v>116.34</v>
      </c>
      <c r="T745" s="3">
        <v>349</v>
      </c>
      <c r="U745" s="3">
        <v>38</v>
      </c>
      <c r="V745" t="s">
        <v>87</v>
      </c>
    </row>
    <row r="746" spans="1:22" x14ac:dyDescent="0.3">
      <c r="A746" t="s">
        <v>830</v>
      </c>
      <c r="B746" s="1">
        <v>46183</v>
      </c>
      <c r="C746" t="s">
        <v>78</v>
      </c>
      <c r="D746" t="s">
        <v>112</v>
      </c>
      <c r="E746" t="s">
        <v>47</v>
      </c>
      <c r="F746" t="s">
        <v>79</v>
      </c>
      <c r="G746" t="s">
        <v>80</v>
      </c>
      <c r="H746">
        <v>1</v>
      </c>
      <c r="I746" s="3">
        <v>299</v>
      </c>
      <c r="J746" s="4">
        <v>5</v>
      </c>
      <c r="K746" s="3">
        <v>284</v>
      </c>
      <c r="L746" s="3">
        <v>284</v>
      </c>
      <c r="M746" t="s">
        <v>28</v>
      </c>
      <c r="N746" t="s">
        <v>29</v>
      </c>
      <c r="O746" s="3">
        <v>45</v>
      </c>
      <c r="P746" t="s">
        <v>30</v>
      </c>
      <c r="Q746" s="3">
        <v>15.01</v>
      </c>
      <c r="R746" s="3">
        <v>132.5</v>
      </c>
      <c r="S746" s="3">
        <v>91.49</v>
      </c>
      <c r="T746" s="3">
        <v>284</v>
      </c>
      <c r="U746" s="3">
        <v>24</v>
      </c>
      <c r="V746" t="s">
        <v>81</v>
      </c>
    </row>
    <row r="747" spans="1:22" x14ac:dyDescent="0.3">
      <c r="A747" t="s">
        <v>831</v>
      </c>
      <c r="B747" s="1">
        <v>46200</v>
      </c>
      <c r="C747" t="s">
        <v>78</v>
      </c>
      <c r="D747" t="s">
        <v>33</v>
      </c>
      <c r="E747" t="s">
        <v>34</v>
      </c>
      <c r="F747" t="s">
        <v>109</v>
      </c>
      <c r="G747" t="s">
        <v>110</v>
      </c>
      <c r="H747">
        <v>1</v>
      </c>
      <c r="I747" s="3">
        <v>599</v>
      </c>
      <c r="J747" s="4">
        <v>30</v>
      </c>
      <c r="K747" s="3">
        <v>419</v>
      </c>
      <c r="L747" s="3">
        <v>419</v>
      </c>
      <c r="M747" t="s">
        <v>28</v>
      </c>
      <c r="N747" t="s">
        <v>29</v>
      </c>
      <c r="O747" s="3">
        <v>55</v>
      </c>
      <c r="P747" t="s">
        <v>30</v>
      </c>
      <c r="Q747" s="3">
        <v>24.48</v>
      </c>
      <c r="R747" s="3">
        <v>213.72</v>
      </c>
      <c r="S747" s="3">
        <v>125.8</v>
      </c>
      <c r="T747" s="3">
        <v>419</v>
      </c>
      <c r="U747" s="3">
        <v>26</v>
      </c>
      <c r="V747" t="s">
        <v>81</v>
      </c>
    </row>
    <row r="748" spans="1:22" x14ac:dyDescent="0.3">
      <c r="A748" t="s">
        <v>832</v>
      </c>
      <c r="B748" s="1">
        <v>46032</v>
      </c>
      <c r="C748" t="s">
        <v>52</v>
      </c>
      <c r="D748" t="s">
        <v>46</v>
      </c>
      <c r="E748" t="s">
        <v>47</v>
      </c>
      <c r="F748" t="s">
        <v>42</v>
      </c>
      <c r="G748" t="s">
        <v>27</v>
      </c>
      <c r="H748">
        <v>2</v>
      </c>
      <c r="I748" s="3">
        <v>899</v>
      </c>
      <c r="J748" s="4">
        <v>30</v>
      </c>
      <c r="K748" s="3">
        <v>629</v>
      </c>
      <c r="L748" s="3">
        <v>1258</v>
      </c>
      <c r="M748" t="s">
        <v>28</v>
      </c>
      <c r="N748" t="s">
        <v>29</v>
      </c>
      <c r="O748" s="3">
        <v>65</v>
      </c>
      <c r="P748" t="s">
        <v>30</v>
      </c>
      <c r="Q748" s="3">
        <v>76.959999999999994</v>
      </c>
      <c r="R748" s="3">
        <v>588.94000000000005</v>
      </c>
      <c r="S748" s="3">
        <v>527.1</v>
      </c>
      <c r="T748" s="3">
        <v>629</v>
      </c>
      <c r="U748" s="3">
        <v>2</v>
      </c>
      <c r="V748" t="s">
        <v>57</v>
      </c>
    </row>
    <row r="749" spans="1:22" x14ac:dyDescent="0.3">
      <c r="A749" t="s">
        <v>833</v>
      </c>
      <c r="B749" s="1">
        <v>46283</v>
      </c>
      <c r="C749" t="s">
        <v>86</v>
      </c>
      <c r="D749" t="s">
        <v>40</v>
      </c>
      <c r="E749" t="s">
        <v>41</v>
      </c>
      <c r="F749" t="s">
        <v>79</v>
      </c>
      <c r="G749" t="s">
        <v>80</v>
      </c>
      <c r="H749">
        <v>1</v>
      </c>
      <c r="I749" s="3">
        <v>449</v>
      </c>
      <c r="J749" s="4">
        <v>15</v>
      </c>
      <c r="K749" s="3">
        <v>382</v>
      </c>
      <c r="L749" s="3">
        <v>382</v>
      </c>
      <c r="M749" t="s">
        <v>28</v>
      </c>
      <c r="N749" t="s">
        <v>37</v>
      </c>
      <c r="O749" s="3">
        <v>35</v>
      </c>
      <c r="P749" t="s">
        <v>30</v>
      </c>
      <c r="Q749" s="3">
        <v>19.47</v>
      </c>
      <c r="R749" s="3">
        <v>191.04</v>
      </c>
      <c r="S749" s="3">
        <v>136.49</v>
      </c>
      <c r="T749" s="3">
        <v>382</v>
      </c>
      <c r="U749" s="3">
        <v>38</v>
      </c>
      <c r="V749" t="s">
        <v>87</v>
      </c>
    </row>
    <row r="750" spans="1:22" x14ac:dyDescent="0.3">
      <c r="A750" t="s">
        <v>834</v>
      </c>
      <c r="B750" s="1">
        <v>46160</v>
      </c>
      <c r="C750" t="s">
        <v>62</v>
      </c>
      <c r="D750" t="s">
        <v>63</v>
      </c>
      <c r="E750" t="s">
        <v>47</v>
      </c>
      <c r="F750" t="s">
        <v>100</v>
      </c>
      <c r="G750" t="s">
        <v>101</v>
      </c>
      <c r="H750">
        <v>1</v>
      </c>
      <c r="I750" s="3">
        <v>399</v>
      </c>
      <c r="J750" s="4">
        <v>35</v>
      </c>
      <c r="K750" s="3">
        <v>259</v>
      </c>
      <c r="L750" s="3">
        <v>259</v>
      </c>
      <c r="M750" t="s">
        <v>76</v>
      </c>
      <c r="N750" t="s">
        <v>29</v>
      </c>
      <c r="O750" s="3">
        <v>45</v>
      </c>
      <c r="P750" t="s">
        <v>30</v>
      </c>
      <c r="Q750" s="3">
        <v>12.15</v>
      </c>
      <c r="R750" s="3">
        <v>118.61</v>
      </c>
      <c r="S750" s="3">
        <v>83.24</v>
      </c>
      <c r="T750" s="3">
        <v>259</v>
      </c>
      <c r="U750" s="3">
        <v>21</v>
      </c>
      <c r="V750" t="s">
        <v>65</v>
      </c>
    </row>
    <row r="751" spans="1:22" x14ac:dyDescent="0.3">
      <c r="A751" t="s">
        <v>835</v>
      </c>
      <c r="B751" s="1">
        <v>46194</v>
      </c>
      <c r="C751" t="s">
        <v>78</v>
      </c>
      <c r="D751" t="s">
        <v>40</v>
      </c>
      <c r="E751" t="s">
        <v>41</v>
      </c>
      <c r="F751" t="s">
        <v>109</v>
      </c>
      <c r="G751" t="s">
        <v>110</v>
      </c>
      <c r="H751">
        <v>1</v>
      </c>
      <c r="I751" s="3">
        <v>449</v>
      </c>
      <c r="J751" s="4">
        <v>35</v>
      </c>
      <c r="K751" s="3">
        <v>292</v>
      </c>
      <c r="L751" s="3">
        <v>292</v>
      </c>
      <c r="M751" t="s">
        <v>28</v>
      </c>
      <c r="N751" t="s">
        <v>37</v>
      </c>
      <c r="O751" s="3">
        <v>35</v>
      </c>
      <c r="P751" t="s">
        <v>30</v>
      </c>
      <c r="Q751" s="3">
        <v>21.61</v>
      </c>
      <c r="R751" s="3">
        <v>148.27000000000001</v>
      </c>
      <c r="S751" s="3">
        <v>87.12</v>
      </c>
      <c r="T751" s="3">
        <v>292</v>
      </c>
      <c r="U751" s="3">
        <v>25</v>
      </c>
      <c r="V751" t="s">
        <v>81</v>
      </c>
    </row>
    <row r="752" spans="1:22" x14ac:dyDescent="0.3">
      <c r="A752" t="s">
        <v>836</v>
      </c>
      <c r="B752" s="1">
        <v>46035</v>
      </c>
      <c r="C752" t="s">
        <v>52</v>
      </c>
      <c r="D752" t="s">
        <v>53</v>
      </c>
      <c r="E752" t="s">
        <v>54</v>
      </c>
      <c r="F752" t="s">
        <v>35</v>
      </c>
      <c r="G752" t="s">
        <v>36</v>
      </c>
      <c r="H752">
        <v>1</v>
      </c>
      <c r="I752" s="3">
        <v>499</v>
      </c>
      <c r="J752" s="4">
        <v>25</v>
      </c>
      <c r="K752" s="3">
        <v>374</v>
      </c>
      <c r="L752" s="3">
        <v>374</v>
      </c>
      <c r="M752" t="s">
        <v>28</v>
      </c>
      <c r="N752" t="s">
        <v>37</v>
      </c>
      <c r="O752" s="3">
        <v>45</v>
      </c>
      <c r="P752" t="s">
        <v>30</v>
      </c>
      <c r="Q752" s="3">
        <v>24.75</v>
      </c>
      <c r="R752" s="3">
        <v>176.21</v>
      </c>
      <c r="S752" s="3">
        <v>128.04</v>
      </c>
      <c r="T752" s="3">
        <v>374</v>
      </c>
      <c r="U752" s="3">
        <v>3</v>
      </c>
      <c r="V752" t="s">
        <v>57</v>
      </c>
    </row>
    <row r="753" spans="1:22" x14ac:dyDescent="0.3">
      <c r="A753" t="s">
        <v>837</v>
      </c>
      <c r="B753" s="1">
        <v>46190</v>
      </c>
      <c r="C753" t="s">
        <v>78</v>
      </c>
      <c r="D753" t="s">
        <v>40</v>
      </c>
      <c r="E753" t="s">
        <v>41</v>
      </c>
      <c r="F753" t="s">
        <v>84</v>
      </c>
      <c r="G753" t="s">
        <v>84</v>
      </c>
      <c r="H753">
        <v>1</v>
      </c>
      <c r="I753" s="3">
        <v>449</v>
      </c>
      <c r="J753" s="4">
        <v>5</v>
      </c>
      <c r="K753" s="3">
        <v>427</v>
      </c>
      <c r="L753" s="3">
        <v>427</v>
      </c>
      <c r="M753" t="s">
        <v>28</v>
      </c>
      <c r="N753" t="s">
        <v>29</v>
      </c>
      <c r="O753" s="3">
        <v>45</v>
      </c>
      <c r="P753" t="s">
        <v>30</v>
      </c>
      <c r="Q753" s="3">
        <v>25.58</v>
      </c>
      <c r="R753" s="3">
        <v>192.58</v>
      </c>
      <c r="S753" s="3">
        <v>163.84</v>
      </c>
      <c r="T753" s="3">
        <v>427</v>
      </c>
      <c r="U753" s="3">
        <v>25</v>
      </c>
      <c r="V753" t="s">
        <v>81</v>
      </c>
    </row>
    <row r="754" spans="1:22" x14ac:dyDescent="0.3">
      <c r="A754" t="s">
        <v>838</v>
      </c>
      <c r="B754" s="1">
        <v>46152</v>
      </c>
      <c r="C754" t="s">
        <v>62</v>
      </c>
      <c r="D754" t="s">
        <v>93</v>
      </c>
      <c r="E754" t="s">
        <v>47</v>
      </c>
      <c r="F754" t="s">
        <v>35</v>
      </c>
      <c r="G754" t="s">
        <v>36</v>
      </c>
      <c r="H754">
        <v>1</v>
      </c>
      <c r="I754" s="3">
        <v>699</v>
      </c>
      <c r="J754" s="4">
        <v>15</v>
      </c>
      <c r="K754" s="3">
        <v>594</v>
      </c>
      <c r="L754" s="3">
        <v>594</v>
      </c>
      <c r="M754" t="s">
        <v>102</v>
      </c>
      <c r="N754" t="s">
        <v>37</v>
      </c>
      <c r="O754" s="3">
        <v>45</v>
      </c>
      <c r="P754" t="s">
        <v>30</v>
      </c>
      <c r="Q754" s="3">
        <v>29.19</v>
      </c>
      <c r="R754" s="3">
        <v>301.89999999999998</v>
      </c>
      <c r="S754" s="3">
        <v>217.91</v>
      </c>
      <c r="T754" s="3">
        <v>594</v>
      </c>
      <c r="U754" s="3">
        <v>19</v>
      </c>
      <c r="V754" t="s">
        <v>65</v>
      </c>
    </row>
    <row r="755" spans="1:22" x14ac:dyDescent="0.3">
      <c r="A755" t="s">
        <v>839</v>
      </c>
      <c r="B755" s="1">
        <v>46106</v>
      </c>
      <c r="C755" t="s">
        <v>39</v>
      </c>
      <c r="D755" t="s">
        <v>46</v>
      </c>
      <c r="E755" t="s">
        <v>47</v>
      </c>
      <c r="F755" t="s">
        <v>42</v>
      </c>
      <c r="G755" t="s">
        <v>27</v>
      </c>
      <c r="H755">
        <v>1</v>
      </c>
      <c r="I755" s="3">
        <v>899</v>
      </c>
      <c r="J755" s="4">
        <v>20</v>
      </c>
      <c r="K755" s="3">
        <v>719</v>
      </c>
      <c r="L755" s="3">
        <v>719</v>
      </c>
      <c r="M755" t="s">
        <v>28</v>
      </c>
      <c r="N755" t="s">
        <v>37</v>
      </c>
      <c r="O755" s="3">
        <v>65</v>
      </c>
      <c r="P755" t="s">
        <v>30</v>
      </c>
      <c r="Q755" s="3">
        <v>54.29</v>
      </c>
      <c r="R755" s="3">
        <v>348.09</v>
      </c>
      <c r="S755" s="3">
        <v>251.62</v>
      </c>
      <c r="T755" s="3">
        <v>719</v>
      </c>
      <c r="U755" s="3">
        <v>13</v>
      </c>
      <c r="V755" t="s">
        <v>43</v>
      </c>
    </row>
    <row r="756" spans="1:22" x14ac:dyDescent="0.3">
      <c r="A756" t="s">
        <v>840</v>
      </c>
      <c r="B756" s="1">
        <v>46123</v>
      </c>
      <c r="C756" t="s">
        <v>23</v>
      </c>
      <c r="D756" t="s">
        <v>93</v>
      </c>
      <c r="E756" t="s">
        <v>47</v>
      </c>
      <c r="F756" t="s">
        <v>42</v>
      </c>
      <c r="G756" t="s">
        <v>27</v>
      </c>
      <c r="H756">
        <v>1</v>
      </c>
      <c r="I756" s="3">
        <v>699</v>
      </c>
      <c r="J756" s="4">
        <v>20</v>
      </c>
      <c r="K756" s="3">
        <v>559</v>
      </c>
      <c r="L756" s="3">
        <v>559</v>
      </c>
      <c r="M756" t="s">
        <v>69</v>
      </c>
      <c r="N756" t="s">
        <v>29</v>
      </c>
      <c r="O756" s="3">
        <v>55</v>
      </c>
      <c r="P756" t="s">
        <v>70</v>
      </c>
      <c r="Q756" s="3">
        <v>41.83</v>
      </c>
      <c r="R756" s="3">
        <v>258.36</v>
      </c>
      <c r="S756" s="3">
        <v>203.81</v>
      </c>
      <c r="T756" s="3">
        <v>559</v>
      </c>
      <c r="U756" s="3">
        <v>15</v>
      </c>
      <c r="V756" t="s">
        <v>31</v>
      </c>
    </row>
    <row r="757" spans="1:22" x14ac:dyDescent="0.3">
      <c r="A757" t="s">
        <v>841</v>
      </c>
      <c r="B757" s="1">
        <v>46287</v>
      </c>
      <c r="C757" t="s">
        <v>86</v>
      </c>
      <c r="D757" t="s">
        <v>93</v>
      </c>
      <c r="E757" t="s">
        <v>47</v>
      </c>
      <c r="F757" t="s">
        <v>55</v>
      </c>
      <c r="G757" t="s">
        <v>56</v>
      </c>
      <c r="H757">
        <v>1</v>
      </c>
      <c r="I757" s="3">
        <v>699</v>
      </c>
      <c r="J757" s="4">
        <v>10</v>
      </c>
      <c r="K757" s="3">
        <v>629</v>
      </c>
      <c r="L757" s="3">
        <v>629</v>
      </c>
      <c r="M757" t="s">
        <v>28</v>
      </c>
      <c r="N757" t="s">
        <v>37</v>
      </c>
      <c r="O757" s="3">
        <v>45</v>
      </c>
      <c r="P757" t="s">
        <v>30</v>
      </c>
      <c r="Q757" s="3">
        <v>35.56</v>
      </c>
      <c r="R757" s="3">
        <v>298.56</v>
      </c>
      <c r="S757" s="3">
        <v>249.88</v>
      </c>
      <c r="T757" s="3">
        <v>629</v>
      </c>
      <c r="U757" s="3">
        <v>39</v>
      </c>
      <c r="V757" t="s">
        <v>87</v>
      </c>
    </row>
    <row r="758" spans="1:22" x14ac:dyDescent="0.3">
      <c r="A758" t="s">
        <v>842</v>
      </c>
      <c r="B758" s="1">
        <v>46060</v>
      </c>
      <c r="C758" t="s">
        <v>95</v>
      </c>
      <c r="D758" t="s">
        <v>53</v>
      </c>
      <c r="E758" t="s">
        <v>54</v>
      </c>
      <c r="F758" t="s">
        <v>35</v>
      </c>
      <c r="G758" t="s">
        <v>36</v>
      </c>
      <c r="H758">
        <v>2</v>
      </c>
      <c r="I758" s="3">
        <v>499</v>
      </c>
      <c r="J758" s="4">
        <v>5</v>
      </c>
      <c r="K758" s="3">
        <v>474</v>
      </c>
      <c r="L758" s="3">
        <v>948</v>
      </c>
      <c r="M758" t="s">
        <v>28</v>
      </c>
      <c r="N758" t="s">
        <v>37</v>
      </c>
      <c r="O758" s="3">
        <v>65</v>
      </c>
      <c r="P758" t="s">
        <v>30</v>
      </c>
      <c r="Q758" s="3">
        <v>65.260000000000005</v>
      </c>
      <c r="R758" s="3">
        <v>431.6</v>
      </c>
      <c r="S758" s="3">
        <v>386.14</v>
      </c>
      <c r="T758" s="3">
        <v>474</v>
      </c>
      <c r="U758" s="3">
        <v>6</v>
      </c>
      <c r="V758" t="s">
        <v>96</v>
      </c>
    </row>
    <row r="759" spans="1:22" x14ac:dyDescent="0.3">
      <c r="A759" t="s">
        <v>843</v>
      </c>
      <c r="B759" s="1">
        <v>46116</v>
      </c>
      <c r="C759" t="s">
        <v>23</v>
      </c>
      <c r="D759" t="s">
        <v>53</v>
      </c>
      <c r="E759" t="s">
        <v>54</v>
      </c>
      <c r="F759" t="s">
        <v>55</v>
      </c>
      <c r="G759" t="s">
        <v>56</v>
      </c>
      <c r="H759">
        <v>2</v>
      </c>
      <c r="I759" s="3">
        <v>499</v>
      </c>
      <c r="J759" s="4">
        <v>5</v>
      </c>
      <c r="K759" s="3">
        <v>474</v>
      </c>
      <c r="L759" s="3">
        <v>948</v>
      </c>
      <c r="M759" t="s">
        <v>64</v>
      </c>
      <c r="N759" t="s">
        <v>37</v>
      </c>
      <c r="O759" s="3">
        <v>45</v>
      </c>
      <c r="P759" t="s">
        <v>30</v>
      </c>
      <c r="Q759" s="3">
        <v>39.1</v>
      </c>
      <c r="R759" s="3">
        <v>487.93</v>
      </c>
      <c r="S759" s="3">
        <v>375.97</v>
      </c>
      <c r="T759" s="3">
        <v>474</v>
      </c>
      <c r="U759" s="3">
        <v>14</v>
      </c>
      <c r="V759" t="s">
        <v>31</v>
      </c>
    </row>
    <row r="760" spans="1:22" x14ac:dyDescent="0.3">
      <c r="A760" t="s">
        <v>844</v>
      </c>
      <c r="B760" s="1">
        <v>46117</v>
      </c>
      <c r="C760" t="s">
        <v>23</v>
      </c>
      <c r="D760" t="s">
        <v>112</v>
      </c>
      <c r="E760" t="s">
        <v>47</v>
      </c>
      <c r="F760" t="s">
        <v>84</v>
      </c>
      <c r="G760" t="s">
        <v>84</v>
      </c>
      <c r="H760">
        <v>1</v>
      </c>
      <c r="I760" s="3">
        <v>299</v>
      </c>
      <c r="J760" s="4">
        <v>35</v>
      </c>
      <c r="K760" s="3">
        <v>194</v>
      </c>
      <c r="L760" s="3">
        <v>194</v>
      </c>
      <c r="M760" t="s">
        <v>28</v>
      </c>
      <c r="N760" t="s">
        <v>29</v>
      </c>
      <c r="O760" s="3">
        <v>35</v>
      </c>
      <c r="P760" t="s">
        <v>30</v>
      </c>
      <c r="Q760" s="3">
        <v>11.3</v>
      </c>
      <c r="R760" s="3">
        <v>95.17</v>
      </c>
      <c r="S760" s="3">
        <v>52.53</v>
      </c>
      <c r="T760" s="3">
        <v>194</v>
      </c>
      <c r="U760" s="3">
        <v>14</v>
      </c>
      <c r="V760" t="s">
        <v>31</v>
      </c>
    </row>
    <row r="761" spans="1:22" x14ac:dyDescent="0.3">
      <c r="A761" t="s">
        <v>845</v>
      </c>
      <c r="B761" s="1">
        <v>46091</v>
      </c>
      <c r="C761" t="s">
        <v>39</v>
      </c>
      <c r="D761" t="s">
        <v>93</v>
      </c>
      <c r="E761" t="s">
        <v>47</v>
      </c>
      <c r="F761" t="s">
        <v>48</v>
      </c>
      <c r="G761" t="s">
        <v>49</v>
      </c>
      <c r="H761">
        <v>1</v>
      </c>
      <c r="I761" s="3">
        <v>699</v>
      </c>
      <c r="J761" s="4">
        <v>30</v>
      </c>
      <c r="K761" s="3">
        <v>489</v>
      </c>
      <c r="L761" s="3">
        <v>489</v>
      </c>
      <c r="M761" t="s">
        <v>76</v>
      </c>
      <c r="N761" t="s">
        <v>29</v>
      </c>
      <c r="O761" s="3">
        <v>35</v>
      </c>
      <c r="P761" t="s">
        <v>30</v>
      </c>
      <c r="Q761" s="3">
        <v>27.13</v>
      </c>
      <c r="R761" s="3">
        <v>222.3</v>
      </c>
      <c r="S761" s="3">
        <v>204.57</v>
      </c>
      <c r="T761" s="3">
        <v>489</v>
      </c>
      <c r="U761" s="3">
        <v>11</v>
      </c>
      <c r="V761" t="s">
        <v>43</v>
      </c>
    </row>
    <row r="762" spans="1:22" x14ac:dyDescent="0.3">
      <c r="A762" t="s">
        <v>846</v>
      </c>
      <c r="B762" s="1">
        <v>46258</v>
      </c>
      <c r="C762" t="s">
        <v>67</v>
      </c>
      <c r="D762" t="s">
        <v>115</v>
      </c>
      <c r="E762" t="s">
        <v>116</v>
      </c>
      <c r="F762" t="s">
        <v>35</v>
      </c>
      <c r="G762" t="s">
        <v>36</v>
      </c>
      <c r="H762">
        <v>1</v>
      </c>
      <c r="I762" s="3">
        <v>249</v>
      </c>
      <c r="J762" s="4">
        <v>5</v>
      </c>
      <c r="K762" s="3">
        <v>237</v>
      </c>
      <c r="L762" s="3">
        <v>237</v>
      </c>
      <c r="M762" t="s">
        <v>28</v>
      </c>
      <c r="N762" t="s">
        <v>29</v>
      </c>
      <c r="O762" s="3">
        <v>45</v>
      </c>
      <c r="P762" t="s">
        <v>30</v>
      </c>
      <c r="Q762" s="3">
        <v>11.3</v>
      </c>
      <c r="R762" s="3">
        <v>111.49</v>
      </c>
      <c r="S762" s="3">
        <v>69.209999999999994</v>
      </c>
      <c r="T762" s="3">
        <v>237</v>
      </c>
      <c r="U762" s="3">
        <v>35</v>
      </c>
      <c r="V762" t="s">
        <v>71</v>
      </c>
    </row>
    <row r="763" spans="1:22" x14ac:dyDescent="0.3">
      <c r="A763" t="s">
        <v>847</v>
      </c>
      <c r="B763" s="1">
        <v>46159</v>
      </c>
      <c r="C763" t="s">
        <v>62</v>
      </c>
      <c r="D763" t="s">
        <v>53</v>
      </c>
      <c r="E763" t="s">
        <v>54</v>
      </c>
      <c r="F763" t="s">
        <v>84</v>
      </c>
      <c r="G763" t="s">
        <v>84</v>
      </c>
      <c r="H763">
        <v>2</v>
      </c>
      <c r="I763" s="3">
        <v>499</v>
      </c>
      <c r="J763" s="4">
        <v>15</v>
      </c>
      <c r="K763" s="3">
        <v>424</v>
      </c>
      <c r="L763" s="3">
        <v>848</v>
      </c>
      <c r="M763" t="s">
        <v>76</v>
      </c>
      <c r="N763" t="s">
        <v>29</v>
      </c>
      <c r="O763" s="3">
        <v>45</v>
      </c>
      <c r="P763" t="s">
        <v>30</v>
      </c>
      <c r="Q763" s="3">
        <v>66.47</v>
      </c>
      <c r="R763" s="3">
        <v>423.38</v>
      </c>
      <c r="S763" s="3">
        <v>313.14999999999998</v>
      </c>
      <c r="T763" s="3">
        <v>424</v>
      </c>
      <c r="U763" s="3">
        <v>20</v>
      </c>
      <c r="V763" t="s">
        <v>65</v>
      </c>
    </row>
    <row r="764" spans="1:22" x14ac:dyDescent="0.3">
      <c r="A764" t="s">
        <v>848</v>
      </c>
      <c r="B764" s="1">
        <v>46098</v>
      </c>
      <c r="C764" t="s">
        <v>39</v>
      </c>
      <c r="D764" t="s">
        <v>33</v>
      </c>
      <c r="E764" t="s">
        <v>34</v>
      </c>
      <c r="F764" t="s">
        <v>35</v>
      </c>
      <c r="G764" t="s">
        <v>36</v>
      </c>
      <c r="H764">
        <v>1</v>
      </c>
      <c r="I764" s="3">
        <v>599</v>
      </c>
      <c r="J764" s="4">
        <v>10</v>
      </c>
      <c r="K764" s="3">
        <v>539</v>
      </c>
      <c r="L764" s="3">
        <v>539</v>
      </c>
      <c r="M764" t="s">
        <v>76</v>
      </c>
      <c r="N764" t="s">
        <v>37</v>
      </c>
      <c r="O764" s="3">
        <v>45</v>
      </c>
      <c r="P764" t="s">
        <v>30</v>
      </c>
      <c r="Q764" s="3">
        <v>27.15</v>
      </c>
      <c r="R764" s="3">
        <v>260.67</v>
      </c>
      <c r="S764" s="3">
        <v>206.18</v>
      </c>
      <c r="T764" s="3">
        <v>539</v>
      </c>
      <c r="U764" s="3">
        <v>12</v>
      </c>
      <c r="V764" t="s">
        <v>43</v>
      </c>
    </row>
    <row r="765" spans="1:22" x14ac:dyDescent="0.3">
      <c r="A765" t="s">
        <v>849</v>
      </c>
      <c r="B765" s="1">
        <v>46057</v>
      </c>
      <c r="C765" t="s">
        <v>95</v>
      </c>
      <c r="D765" t="s">
        <v>33</v>
      </c>
      <c r="E765" t="s">
        <v>34</v>
      </c>
      <c r="F765" t="s">
        <v>26</v>
      </c>
      <c r="G765" t="s">
        <v>27</v>
      </c>
      <c r="H765">
        <v>3</v>
      </c>
      <c r="I765" s="3">
        <v>599</v>
      </c>
      <c r="J765" s="4">
        <v>10</v>
      </c>
      <c r="K765" s="3">
        <v>539</v>
      </c>
      <c r="L765" s="3">
        <v>1617</v>
      </c>
      <c r="M765" t="s">
        <v>64</v>
      </c>
      <c r="N765" t="s">
        <v>29</v>
      </c>
      <c r="O765" s="3">
        <v>35</v>
      </c>
      <c r="P765" t="s">
        <v>30</v>
      </c>
      <c r="Q765" s="3">
        <v>115.39</v>
      </c>
      <c r="R765" s="3">
        <v>742.98</v>
      </c>
      <c r="S765" s="3">
        <v>723.63</v>
      </c>
      <c r="T765" s="3">
        <v>539</v>
      </c>
      <c r="U765" s="3">
        <v>6</v>
      </c>
      <c r="V765" t="s">
        <v>96</v>
      </c>
    </row>
    <row r="766" spans="1:22" x14ac:dyDescent="0.3">
      <c r="A766" t="s">
        <v>850</v>
      </c>
      <c r="B766" s="1">
        <v>46023</v>
      </c>
      <c r="C766" t="s">
        <v>52</v>
      </c>
      <c r="D766" t="s">
        <v>46</v>
      </c>
      <c r="E766" t="s">
        <v>47</v>
      </c>
      <c r="F766" t="s">
        <v>48</v>
      </c>
      <c r="G766" t="s">
        <v>49</v>
      </c>
      <c r="H766">
        <v>1</v>
      </c>
      <c r="I766" s="3">
        <v>899</v>
      </c>
      <c r="J766" s="4">
        <v>30</v>
      </c>
      <c r="K766" s="3">
        <v>629</v>
      </c>
      <c r="L766" s="3">
        <v>629</v>
      </c>
      <c r="M766" t="s">
        <v>76</v>
      </c>
      <c r="N766" t="s">
        <v>37</v>
      </c>
      <c r="O766" s="3">
        <v>35</v>
      </c>
      <c r="P766" t="s">
        <v>30</v>
      </c>
      <c r="Q766" s="3">
        <v>37.409999999999997</v>
      </c>
      <c r="R766" s="3">
        <v>319.42</v>
      </c>
      <c r="S766" s="3">
        <v>237.17</v>
      </c>
      <c r="T766" s="3">
        <v>629</v>
      </c>
      <c r="U766" s="3">
        <v>1</v>
      </c>
      <c r="V766" t="s">
        <v>57</v>
      </c>
    </row>
    <row r="767" spans="1:22" x14ac:dyDescent="0.3">
      <c r="A767" t="s">
        <v>851</v>
      </c>
      <c r="B767" s="1">
        <v>46082</v>
      </c>
      <c r="C767" t="s">
        <v>39</v>
      </c>
      <c r="D767" t="s">
        <v>74</v>
      </c>
      <c r="E767" t="s">
        <v>75</v>
      </c>
      <c r="F767" t="s">
        <v>84</v>
      </c>
      <c r="G767" t="s">
        <v>84</v>
      </c>
      <c r="H767">
        <v>1</v>
      </c>
      <c r="I767" s="3">
        <v>549</v>
      </c>
      <c r="J767" s="4">
        <v>20</v>
      </c>
      <c r="K767" s="3">
        <v>439</v>
      </c>
      <c r="L767" s="3">
        <v>439</v>
      </c>
      <c r="M767" t="s">
        <v>28</v>
      </c>
      <c r="N767" t="s">
        <v>37</v>
      </c>
      <c r="O767" s="3">
        <v>35</v>
      </c>
      <c r="P767" t="s">
        <v>30</v>
      </c>
      <c r="Q767" s="3">
        <v>25.55</v>
      </c>
      <c r="R767" s="3">
        <v>208.78</v>
      </c>
      <c r="S767" s="3">
        <v>169.67</v>
      </c>
      <c r="T767" s="3">
        <v>439</v>
      </c>
      <c r="U767" s="3">
        <v>9</v>
      </c>
      <c r="V767" t="s">
        <v>43</v>
      </c>
    </row>
    <row r="768" spans="1:22" x14ac:dyDescent="0.3">
      <c r="A768" t="s">
        <v>852</v>
      </c>
      <c r="B768" s="1">
        <v>46289</v>
      </c>
      <c r="C768" t="s">
        <v>86</v>
      </c>
      <c r="D768" t="s">
        <v>53</v>
      </c>
      <c r="E768" t="s">
        <v>54</v>
      </c>
      <c r="F768" t="s">
        <v>68</v>
      </c>
      <c r="G768" t="s">
        <v>27</v>
      </c>
      <c r="H768">
        <v>1</v>
      </c>
      <c r="I768" s="3">
        <v>499</v>
      </c>
      <c r="J768" s="4">
        <v>20</v>
      </c>
      <c r="K768" s="3">
        <v>399</v>
      </c>
      <c r="L768" s="3">
        <v>399</v>
      </c>
      <c r="M768" t="s">
        <v>28</v>
      </c>
      <c r="N768" t="s">
        <v>37</v>
      </c>
      <c r="O768" s="3">
        <v>55</v>
      </c>
      <c r="P768" t="s">
        <v>30</v>
      </c>
      <c r="Q768" s="3">
        <v>25.55</v>
      </c>
      <c r="R768" s="3">
        <v>168.95</v>
      </c>
      <c r="S768" s="3">
        <v>149.5</v>
      </c>
      <c r="T768" s="3">
        <v>399</v>
      </c>
      <c r="U768" s="3">
        <v>39</v>
      </c>
      <c r="V768" t="s">
        <v>87</v>
      </c>
    </row>
    <row r="769" spans="1:22" x14ac:dyDescent="0.3">
      <c r="A769" t="s">
        <v>853</v>
      </c>
      <c r="B769" s="1">
        <v>46251</v>
      </c>
      <c r="C769" t="s">
        <v>67</v>
      </c>
      <c r="D769" t="s">
        <v>33</v>
      </c>
      <c r="E769" t="s">
        <v>34</v>
      </c>
      <c r="F769" t="s">
        <v>68</v>
      </c>
      <c r="G769" t="s">
        <v>27</v>
      </c>
      <c r="H769">
        <v>1</v>
      </c>
      <c r="I769" s="3">
        <v>599</v>
      </c>
      <c r="J769" s="4">
        <v>20</v>
      </c>
      <c r="K769" s="3">
        <v>479</v>
      </c>
      <c r="L769" s="3">
        <v>479</v>
      </c>
      <c r="M769" t="s">
        <v>28</v>
      </c>
      <c r="N769" t="s">
        <v>29</v>
      </c>
      <c r="O769" s="3">
        <v>65</v>
      </c>
      <c r="P769" t="s">
        <v>30</v>
      </c>
      <c r="Q769" s="3">
        <v>37.799999999999997</v>
      </c>
      <c r="R769" s="3">
        <v>211.79</v>
      </c>
      <c r="S769" s="3">
        <v>164.41</v>
      </c>
      <c r="T769" s="3">
        <v>479</v>
      </c>
      <c r="U769" s="3">
        <v>34</v>
      </c>
      <c r="V769" t="s">
        <v>71</v>
      </c>
    </row>
    <row r="770" spans="1:22" x14ac:dyDescent="0.3">
      <c r="A770" t="s">
        <v>854</v>
      </c>
      <c r="B770" s="1">
        <v>46235</v>
      </c>
      <c r="C770" t="s">
        <v>67</v>
      </c>
      <c r="D770" t="s">
        <v>130</v>
      </c>
      <c r="E770" t="s">
        <v>54</v>
      </c>
      <c r="F770" t="s">
        <v>42</v>
      </c>
      <c r="G770" t="s">
        <v>27</v>
      </c>
      <c r="H770">
        <v>1</v>
      </c>
      <c r="I770" s="3">
        <v>699</v>
      </c>
      <c r="J770" s="4">
        <v>30</v>
      </c>
      <c r="K770" s="3">
        <v>489</v>
      </c>
      <c r="L770" s="3">
        <v>489</v>
      </c>
      <c r="M770" t="s">
        <v>28</v>
      </c>
      <c r="N770" t="s">
        <v>37</v>
      </c>
      <c r="O770" s="3">
        <v>65</v>
      </c>
      <c r="P770" t="s">
        <v>30</v>
      </c>
      <c r="Q770" s="3">
        <v>27.52</v>
      </c>
      <c r="R770" s="3">
        <v>227.88</v>
      </c>
      <c r="S770" s="3">
        <v>168.6</v>
      </c>
      <c r="T770" s="3">
        <v>489</v>
      </c>
      <c r="U770" s="3">
        <v>31</v>
      </c>
      <c r="V770" t="s">
        <v>71</v>
      </c>
    </row>
    <row r="771" spans="1:22" x14ac:dyDescent="0.3">
      <c r="A771" t="s">
        <v>855</v>
      </c>
      <c r="B771" s="1">
        <v>46187</v>
      </c>
      <c r="C771" t="s">
        <v>78</v>
      </c>
      <c r="D771" t="s">
        <v>74</v>
      </c>
      <c r="E771" t="s">
        <v>75</v>
      </c>
      <c r="F771" t="s">
        <v>79</v>
      </c>
      <c r="G771" t="s">
        <v>80</v>
      </c>
      <c r="H771">
        <v>1</v>
      </c>
      <c r="I771" s="3">
        <v>549</v>
      </c>
      <c r="J771" s="4">
        <v>20</v>
      </c>
      <c r="K771" s="3">
        <v>439</v>
      </c>
      <c r="L771" s="3">
        <v>439</v>
      </c>
      <c r="M771" t="s">
        <v>28</v>
      </c>
      <c r="N771" t="s">
        <v>29</v>
      </c>
      <c r="O771" s="3">
        <v>45</v>
      </c>
      <c r="P771" t="s">
        <v>30</v>
      </c>
      <c r="Q771" s="3">
        <v>19.07</v>
      </c>
      <c r="R771" s="3">
        <v>188.37</v>
      </c>
      <c r="S771" s="3">
        <v>186.56</v>
      </c>
      <c r="T771" s="3">
        <v>439</v>
      </c>
      <c r="U771" s="3">
        <v>24</v>
      </c>
      <c r="V771" t="s">
        <v>81</v>
      </c>
    </row>
    <row r="772" spans="1:22" x14ac:dyDescent="0.3">
      <c r="A772" t="s">
        <v>856</v>
      </c>
      <c r="B772" s="1">
        <v>46027</v>
      </c>
      <c r="C772" t="s">
        <v>52</v>
      </c>
      <c r="D772" t="s">
        <v>59</v>
      </c>
      <c r="E772" t="s">
        <v>60</v>
      </c>
      <c r="F772" t="s">
        <v>42</v>
      </c>
      <c r="G772" t="s">
        <v>27</v>
      </c>
      <c r="H772">
        <v>1</v>
      </c>
      <c r="I772" s="3">
        <v>299</v>
      </c>
      <c r="J772" s="4">
        <v>20</v>
      </c>
      <c r="K772" s="3">
        <v>239</v>
      </c>
      <c r="L772" s="3">
        <v>239</v>
      </c>
      <c r="M772" t="s">
        <v>28</v>
      </c>
      <c r="N772" t="s">
        <v>37</v>
      </c>
      <c r="O772" s="3">
        <v>45</v>
      </c>
      <c r="P772" t="s">
        <v>30</v>
      </c>
      <c r="Q772" s="3">
        <v>17.57</v>
      </c>
      <c r="R772" s="3">
        <v>116.02</v>
      </c>
      <c r="S772" s="3">
        <v>60.41</v>
      </c>
      <c r="T772" s="3">
        <v>239</v>
      </c>
      <c r="U772" s="3">
        <v>2</v>
      </c>
      <c r="V772" t="s">
        <v>57</v>
      </c>
    </row>
    <row r="773" spans="1:22" x14ac:dyDescent="0.3">
      <c r="A773" t="s">
        <v>857</v>
      </c>
      <c r="B773" s="1">
        <v>46100</v>
      </c>
      <c r="C773" t="s">
        <v>39</v>
      </c>
      <c r="D773" t="s">
        <v>112</v>
      </c>
      <c r="E773" t="s">
        <v>47</v>
      </c>
      <c r="F773" t="s">
        <v>79</v>
      </c>
      <c r="G773" t="s">
        <v>80</v>
      </c>
      <c r="H773">
        <v>1</v>
      </c>
      <c r="I773" s="3">
        <v>299</v>
      </c>
      <c r="J773" s="4">
        <v>40</v>
      </c>
      <c r="K773" s="3">
        <v>179</v>
      </c>
      <c r="L773" s="3">
        <v>179</v>
      </c>
      <c r="M773" t="s">
        <v>69</v>
      </c>
      <c r="N773" t="s">
        <v>37</v>
      </c>
      <c r="O773" s="3">
        <v>45</v>
      </c>
      <c r="P773" t="s">
        <v>70</v>
      </c>
      <c r="Q773" s="3">
        <v>9.0299999999999994</v>
      </c>
      <c r="R773" s="3">
        <v>76.38</v>
      </c>
      <c r="S773" s="3">
        <v>48.59</v>
      </c>
      <c r="T773" s="3">
        <v>179</v>
      </c>
      <c r="U773" s="3">
        <v>12</v>
      </c>
      <c r="V773" t="s">
        <v>43</v>
      </c>
    </row>
    <row r="774" spans="1:22" x14ac:dyDescent="0.3">
      <c r="A774" t="s">
        <v>858</v>
      </c>
      <c r="B774" s="1">
        <v>46084</v>
      </c>
      <c r="C774" t="s">
        <v>39</v>
      </c>
      <c r="D774" t="s">
        <v>24</v>
      </c>
      <c r="E774" t="s">
        <v>25</v>
      </c>
      <c r="F774" t="s">
        <v>68</v>
      </c>
      <c r="G774" t="s">
        <v>27</v>
      </c>
      <c r="H774">
        <v>2</v>
      </c>
      <c r="I774" s="3">
        <v>349</v>
      </c>
      <c r="J774" s="4">
        <v>20</v>
      </c>
      <c r="K774" s="3">
        <v>279</v>
      </c>
      <c r="L774" s="3">
        <v>558</v>
      </c>
      <c r="M774" t="s">
        <v>76</v>
      </c>
      <c r="N774" t="s">
        <v>37</v>
      </c>
      <c r="O774" s="3">
        <v>55</v>
      </c>
      <c r="P774" t="s">
        <v>30</v>
      </c>
      <c r="Q774" s="3">
        <v>24.67</v>
      </c>
      <c r="R774" s="3">
        <v>272.77</v>
      </c>
      <c r="S774" s="3">
        <v>205.56</v>
      </c>
      <c r="T774" s="3">
        <v>279</v>
      </c>
      <c r="U774" s="3">
        <v>10</v>
      </c>
      <c r="V774" t="s">
        <v>43</v>
      </c>
    </row>
    <row r="775" spans="1:22" x14ac:dyDescent="0.3">
      <c r="A775" t="s">
        <v>859</v>
      </c>
      <c r="B775" s="1">
        <v>46154</v>
      </c>
      <c r="C775" t="s">
        <v>62</v>
      </c>
      <c r="D775" t="s">
        <v>63</v>
      </c>
      <c r="E775" t="s">
        <v>47</v>
      </c>
      <c r="F775" t="s">
        <v>79</v>
      </c>
      <c r="G775" t="s">
        <v>80</v>
      </c>
      <c r="H775">
        <v>1</v>
      </c>
      <c r="I775" s="3">
        <v>399</v>
      </c>
      <c r="J775" s="4">
        <v>15</v>
      </c>
      <c r="K775" s="3">
        <v>339</v>
      </c>
      <c r="L775" s="3">
        <v>339</v>
      </c>
      <c r="M775" t="s">
        <v>28</v>
      </c>
      <c r="N775" t="s">
        <v>37</v>
      </c>
      <c r="O775" s="3">
        <v>35</v>
      </c>
      <c r="P775" t="s">
        <v>30</v>
      </c>
      <c r="Q775" s="3">
        <v>21.31</v>
      </c>
      <c r="R775" s="3">
        <v>173.14</v>
      </c>
      <c r="S775" s="3">
        <v>109.55</v>
      </c>
      <c r="T775" s="3">
        <v>339</v>
      </c>
      <c r="U775" s="3">
        <v>20</v>
      </c>
      <c r="V775" t="s">
        <v>65</v>
      </c>
    </row>
    <row r="776" spans="1:22" x14ac:dyDescent="0.3">
      <c r="A776" t="s">
        <v>860</v>
      </c>
      <c r="B776" s="1">
        <v>46111</v>
      </c>
      <c r="C776" t="s">
        <v>39</v>
      </c>
      <c r="D776" t="s">
        <v>59</v>
      </c>
      <c r="E776" t="s">
        <v>60</v>
      </c>
      <c r="F776" t="s">
        <v>109</v>
      </c>
      <c r="G776" t="s">
        <v>110</v>
      </c>
      <c r="H776">
        <v>2</v>
      </c>
      <c r="I776" s="3">
        <v>299</v>
      </c>
      <c r="J776" s="4">
        <v>20</v>
      </c>
      <c r="K776" s="3">
        <v>239</v>
      </c>
      <c r="L776" s="3">
        <v>478</v>
      </c>
      <c r="M776" t="s">
        <v>28</v>
      </c>
      <c r="N776" t="s">
        <v>37</v>
      </c>
      <c r="O776" s="3">
        <v>65</v>
      </c>
      <c r="P776" t="s">
        <v>30</v>
      </c>
      <c r="Q776" s="3">
        <v>20.45</v>
      </c>
      <c r="R776" s="3">
        <v>223.64</v>
      </c>
      <c r="S776" s="3">
        <v>168.91</v>
      </c>
      <c r="T776" s="3">
        <v>239</v>
      </c>
      <c r="U776" s="3">
        <v>14</v>
      </c>
      <c r="V776" t="s">
        <v>43</v>
      </c>
    </row>
    <row r="777" spans="1:22" x14ac:dyDescent="0.3">
      <c r="A777" t="s">
        <v>861</v>
      </c>
      <c r="B777" s="1">
        <v>46259</v>
      </c>
      <c r="C777" t="s">
        <v>67</v>
      </c>
      <c r="D777" t="s">
        <v>46</v>
      </c>
      <c r="E777" t="s">
        <v>47</v>
      </c>
      <c r="F777" t="s">
        <v>55</v>
      </c>
      <c r="G777" t="s">
        <v>56</v>
      </c>
      <c r="H777">
        <v>2</v>
      </c>
      <c r="I777" s="3">
        <v>899</v>
      </c>
      <c r="J777" s="4">
        <v>20</v>
      </c>
      <c r="K777" s="3">
        <v>719</v>
      </c>
      <c r="L777" s="3">
        <v>1438</v>
      </c>
      <c r="M777" t="s">
        <v>28</v>
      </c>
      <c r="N777" t="s">
        <v>29</v>
      </c>
      <c r="O777" s="3">
        <v>55</v>
      </c>
      <c r="P777" t="s">
        <v>30</v>
      </c>
      <c r="Q777" s="3">
        <v>85.5</v>
      </c>
      <c r="R777" s="3">
        <v>710.16</v>
      </c>
      <c r="S777" s="3">
        <v>587.34</v>
      </c>
      <c r="T777" s="3">
        <v>719</v>
      </c>
      <c r="U777" s="3">
        <v>35</v>
      </c>
      <c r="V777" t="s">
        <v>71</v>
      </c>
    </row>
    <row r="778" spans="1:22" x14ac:dyDescent="0.3">
      <c r="A778" t="s">
        <v>862</v>
      </c>
      <c r="B778" s="1">
        <v>46064</v>
      </c>
      <c r="C778" t="s">
        <v>95</v>
      </c>
      <c r="D778" t="s">
        <v>53</v>
      </c>
      <c r="E778" t="s">
        <v>54</v>
      </c>
      <c r="F778" t="s">
        <v>55</v>
      </c>
      <c r="G778" t="s">
        <v>56</v>
      </c>
      <c r="H778">
        <v>1</v>
      </c>
      <c r="I778" s="3">
        <v>499</v>
      </c>
      <c r="J778" s="4">
        <v>30</v>
      </c>
      <c r="K778" s="3">
        <v>349</v>
      </c>
      <c r="L778" s="3">
        <v>349</v>
      </c>
      <c r="M778" t="s">
        <v>76</v>
      </c>
      <c r="N778" t="s">
        <v>29</v>
      </c>
      <c r="O778" s="3">
        <v>35</v>
      </c>
      <c r="P778" t="s">
        <v>30</v>
      </c>
      <c r="Q778" s="3">
        <v>24.77</v>
      </c>
      <c r="R778" s="3">
        <v>155.82</v>
      </c>
      <c r="S778" s="3">
        <v>133.41</v>
      </c>
      <c r="T778" s="3">
        <v>349</v>
      </c>
      <c r="U778" s="3">
        <v>7</v>
      </c>
      <c r="V778" t="s">
        <v>96</v>
      </c>
    </row>
    <row r="779" spans="1:22" x14ac:dyDescent="0.3">
      <c r="A779" t="s">
        <v>863</v>
      </c>
      <c r="B779" s="1">
        <v>46111</v>
      </c>
      <c r="C779" t="s">
        <v>39</v>
      </c>
      <c r="D779" t="s">
        <v>74</v>
      </c>
      <c r="E779" t="s">
        <v>75</v>
      </c>
      <c r="F779" t="s">
        <v>79</v>
      </c>
      <c r="G779" t="s">
        <v>80</v>
      </c>
      <c r="H779">
        <v>2</v>
      </c>
      <c r="I779" s="3">
        <v>549</v>
      </c>
      <c r="J779" s="4">
        <v>20</v>
      </c>
      <c r="K779" s="3">
        <v>439</v>
      </c>
      <c r="L779" s="3">
        <v>878</v>
      </c>
      <c r="M779" t="s">
        <v>28</v>
      </c>
      <c r="N779" t="s">
        <v>29</v>
      </c>
      <c r="O779" s="3">
        <v>65</v>
      </c>
      <c r="P779" t="s">
        <v>30</v>
      </c>
      <c r="Q779" s="3">
        <v>62.16</v>
      </c>
      <c r="R779" s="3">
        <v>377.89</v>
      </c>
      <c r="S779" s="3">
        <v>372.95</v>
      </c>
      <c r="T779" s="3">
        <v>439</v>
      </c>
      <c r="U779" s="3">
        <v>14</v>
      </c>
      <c r="V779" t="s">
        <v>43</v>
      </c>
    </row>
    <row r="780" spans="1:22" x14ac:dyDescent="0.3">
      <c r="A780" t="s">
        <v>864</v>
      </c>
      <c r="B780" s="1">
        <v>46126</v>
      </c>
      <c r="C780" t="s">
        <v>23</v>
      </c>
      <c r="D780" t="s">
        <v>112</v>
      </c>
      <c r="E780" t="s">
        <v>47</v>
      </c>
      <c r="F780" t="s">
        <v>26</v>
      </c>
      <c r="G780" t="s">
        <v>27</v>
      </c>
      <c r="H780">
        <v>1</v>
      </c>
      <c r="I780" s="3">
        <v>299</v>
      </c>
      <c r="J780" s="4">
        <v>30</v>
      </c>
      <c r="K780" s="3">
        <v>209</v>
      </c>
      <c r="L780" s="3">
        <v>209</v>
      </c>
      <c r="M780" t="s">
        <v>28</v>
      </c>
      <c r="N780" t="s">
        <v>29</v>
      </c>
      <c r="O780" s="3">
        <v>55</v>
      </c>
      <c r="P780" t="s">
        <v>30</v>
      </c>
      <c r="Q780" s="3">
        <v>14.47</v>
      </c>
      <c r="R780" s="3">
        <v>93.79</v>
      </c>
      <c r="S780" s="3">
        <v>45.74</v>
      </c>
      <c r="T780" s="3">
        <v>209</v>
      </c>
      <c r="U780" s="3">
        <v>16</v>
      </c>
      <c r="V780" t="s">
        <v>31</v>
      </c>
    </row>
    <row r="781" spans="1:22" x14ac:dyDescent="0.3">
      <c r="A781" t="s">
        <v>865</v>
      </c>
      <c r="B781" s="1">
        <v>46036</v>
      </c>
      <c r="C781" t="s">
        <v>52</v>
      </c>
      <c r="D781" t="s">
        <v>112</v>
      </c>
      <c r="E781" t="s">
        <v>47</v>
      </c>
      <c r="F781" t="s">
        <v>68</v>
      </c>
      <c r="G781" t="s">
        <v>27</v>
      </c>
      <c r="H781">
        <v>2</v>
      </c>
      <c r="I781" s="3">
        <v>299</v>
      </c>
      <c r="J781" s="4">
        <v>20</v>
      </c>
      <c r="K781" s="3">
        <v>239</v>
      </c>
      <c r="L781" s="3">
        <v>478</v>
      </c>
      <c r="M781" t="s">
        <v>28</v>
      </c>
      <c r="N781" t="s">
        <v>37</v>
      </c>
      <c r="O781" s="3">
        <v>65</v>
      </c>
      <c r="P781" t="s">
        <v>30</v>
      </c>
      <c r="Q781" s="3">
        <v>20.11</v>
      </c>
      <c r="R781" s="3">
        <v>241.86</v>
      </c>
      <c r="S781" s="3">
        <v>151.03</v>
      </c>
      <c r="T781" s="3">
        <v>239</v>
      </c>
      <c r="U781" s="3">
        <v>3</v>
      </c>
      <c r="V781" t="s">
        <v>57</v>
      </c>
    </row>
    <row r="782" spans="1:22" x14ac:dyDescent="0.3">
      <c r="A782" t="s">
        <v>866</v>
      </c>
      <c r="B782" s="1">
        <v>46201</v>
      </c>
      <c r="C782" t="s">
        <v>78</v>
      </c>
      <c r="D782" t="s">
        <v>59</v>
      </c>
      <c r="E782" t="s">
        <v>60</v>
      </c>
      <c r="F782" t="s">
        <v>68</v>
      </c>
      <c r="G782" t="s">
        <v>27</v>
      </c>
      <c r="H782">
        <v>1</v>
      </c>
      <c r="I782" s="3">
        <v>299</v>
      </c>
      <c r="J782" s="4">
        <v>20</v>
      </c>
      <c r="K782" s="3">
        <v>239</v>
      </c>
      <c r="L782" s="3">
        <v>239</v>
      </c>
      <c r="M782" t="s">
        <v>102</v>
      </c>
      <c r="N782" t="s">
        <v>37</v>
      </c>
      <c r="O782" s="3">
        <v>55</v>
      </c>
      <c r="P782" t="s">
        <v>30</v>
      </c>
      <c r="Q782" s="3">
        <v>17.28</v>
      </c>
      <c r="R782" s="3">
        <v>108.9</v>
      </c>
      <c r="S782" s="3">
        <v>57.82</v>
      </c>
      <c r="T782" s="3">
        <v>239</v>
      </c>
      <c r="U782" s="3">
        <v>26</v>
      </c>
      <c r="V782" t="s">
        <v>81</v>
      </c>
    </row>
    <row r="783" spans="1:22" x14ac:dyDescent="0.3">
      <c r="A783" t="s">
        <v>867</v>
      </c>
      <c r="B783" s="1">
        <v>46147</v>
      </c>
      <c r="C783" t="s">
        <v>62</v>
      </c>
      <c r="D783" t="s">
        <v>59</v>
      </c>
      <c r="E783" t="s">
        <v>60</v>
      </c>
      <c r="F783" t="s">
        <v>79</v>
      </c>
      <c r="G783" t="s">
        <v>80</v>
      </c>
      <c r="H783">
        <v>1</v>
      </c>
      <c r="I783" s="3">
        <v>299</v>
      </c>
      <c r="J783" s="4">
        <v>20</v>
      </c>
      <c r="K783" s="3">
        <v>239</v>
      </c>
      <c r="L783" s="3">
        <v>239</v>
      </c>
      <c r="M783" t="s">
        <v>28</v>
      </c>
      <c r="N783" t="s">
        <v>29</v>
      </c>
      <c r="O783" s="3">
        <v>65</v>
      </c>
      <c r="P783" t="s">
        <v>30</v>
      </c>
      <c r="Q783" s="3">
        <v>13.48</v>
      </c>
      <c r="R783" s="3">
        <v>119.02</v>
      </c>
      <c r="S783" s="3">
        <v>41.5</v>
      </c>
      <c r="T783" s="3">
        <v>239</v>
      </c>
      <c r="U783" s="3">
        <v>19</v>
      </c>
      <c r="V783" t="s">
        <v>65</v>
      </c>
    </row>
    <row r="784" spans="1:22" x14ac:dyDescent="0.3">
      <c r="A784" t="s">
        <v>868</v>
      </c>
      <c r="B784" s="1">
        <v>46045</v>
      </c>
      <c r="C784" t="s">
        <v>52</v>
      </c>
      <c r="D784" t="s">
        <v>24</v>
      </c>
      <c r="E784" t="s">
        <v>25</v>
      </c>
      <c r="F784" t="s">
        <v>48</v>
      </c>
      <c r="G784" t="s">
        <v>49</v>
      </c>
      <c r="H784">
        <v>2</v>
      </c>
      <c r="I784" s="3">
        <v>349</v>
      </c>
      <c r="J784" s="4">
        <v>25</v>
      </c>
      <c r="K784" s="3">
        <v>262</v>
      </c>
      <c r="L784" s="3">
        <v>524</v>
      </c>
      <c r="M784" t="s">
        <v>28</v>
      </c>
      <c r="N784" t="s">
        <v>37</v>
      </c>
      <c r="O784" s="3">
        <v>35</v>
      </c>
      <c r="P784" t="s">
        <v>30</v>
      </c>
      <c r="Q784" s="3">
        <v>26.3</v>
      </c>
      <c r="R784" s="3">
        <v>268</v>
      </c>
      <c r="S784" s="3">
        <v>194.7</v>
      </c>
      <c r="T784" s="3">
        <v>262</v>
      </c>
      <c r="U784" s="3">
        <v>4</v>
      </c>
      <c r="V784" t="s">
        <v>57</v>
      </c>
    </row>
    <row r="785" spans="1:22" x14ac:dyDescent="0.3">
      <c r="A785" t="s">
        <v>869</v>
      </c>
      <c r="B785" s="1">
        <v>46085</v>
      </c>
      <c r="C785" t="s">
        <v>39</v>
      </c>
      <c r="D785" t="s">
        <v>46</v>
      </c>
      <c r="E785" t="s">
        <v>47</v>
      </c>
      <c r="F785" t="s">
        <v>109</v>
      </c>
      <c r="G785" t="s">
        <v>110</v>
      </c>
      <c r="H785">
        <v>2</v>
      </c>
      <c r="I785" s="3">
        <v>899</v>
      </c>
      <c r="J785" s="4">
        <v>30</v>
      </c>
      <c r="K785" s="3">
        <v>629</v>
      </c>
      <c r="L785" s="3">
        <v>1258</v>
      </c>
      <c r="M785" t="s">
        <v>102</v>
      </c>
      <c r="N785" t="s">
        <v>29</v>
      </c>
      <c r="O785" s="3">
        <v>65</v>
      </c>
      <c r="P785" t="s">
        <v>30</v>
      </c>
      <c r="Q785" s="3">
        <v>56.92</v>
      </c>
      <c r="R785" s="3">
        <v>624.74</v>
      </c>
      <c r="S785" s="3">
        <v>511.34</v>
      </c>
      <c r="T785" s="3">
        <v>629</v>
      </c>
      <c r="U785" s="3">
        <v>10</v>
      </c>
      <c r="V785" t="s">
        <v>43</v>
      </c>
    </row>
    <row r="786" spans="1:22" x14ac:dyDescent="0.3">
      <c r="A786" t="s">
        <v>870</v>
      </c>
      <c r="B786" s="1">
        <v>46165</v>
      </c>
      <c r="C786" t="s">
        <v>62</v>
      </c>
      <c r="D786" t="s">
        <v>46</v>
      </c>
      <c r="E786" t="s">
        <v>47</v>
      </c>
      <c r="F786" t="s">
        <v>84</v>
      </c>
      <c r="G786" t="s">
        <v>84</v>
      </c>
      <c r="H786">
        <v>1</v>
      </c>
      <c r="I786" s="3">
        <v>899</v>
      </c>
      <c r="J786" s="4">
        <v>10</v>
      </c>
      <c r="K786" s="3">
        <v>809</v>
      </c>
      <c r="L786" s="3">
        <v>809</v>
      </c>
      <c r="M786" t="s">
        <v>28</v>
      </c>
      <c r="N786" t="s">
        <v>37</v>
      </c>
      <c r="O786" s="3">
        <v>45</v>
      </c>
      <c r="P786" t="s">
        <v>30</v>
      </c>
      <c r="Q786" s="3">
        <v>61.97</v>
      </c>
      <c r="R786" s="3">
        <v>363.51</v>
      </c>
      <c r="S786" s="3">
        <v>338.52</v>
      </c>
      <c r="T786" s="3">
        <v>809</v>
      </c>
      <c r="U786" s="3">
        <v>21</v>
      </c>
      <c r="V786" t="s">
        <v>65</v>
      </c>
    </row>
    <row r="787" spans="1:22" x14ac:dyDescent="0.3">
      <c r="A787" t="s">
        <v>871</v>
      </c>
      <c r="B787" s="1">
        <v>46175</v>
      </c>
      <c r="C787" t="s">
        <v>78</v>
      </c>
      <c r="D787" t="s">
        <v>115</v>
      </c>
      <c r="E787" t="s">
        <v>116</v>
      </c>
      <c r="F787" t="s">
        <v>84</v>
      </c>
      <c r="G787" t="s">
        <v>84</v>
      </c>
      <c r="H787">
        <v>1</v>
      </c>
      <c r="I787" s="3">
        <v>249</v>
      </c>
      <c r="J787" s="4">
        <v>30</v>
      </c>
      <c r="K787" s="3">
        <v>174</v>
      </c>
      <c r="L787" s="3">
        <v>174</v>
      </c>
      <c r="M787" t="s">
        <v>28</v>
      </c>
      <c r="N787" t="s">
        <v>29</v>
      </c>
      <c r="O787" s="3">
        <v>35</v>
      </c>
      <c r="P787" t="s">
        <v>30</v>
      </c>
      <c r="Q787" s="3">
        <v>13.03</v>
      </c>
      <c r="R787" s="3">
        <v>74.319999999999993</v>
      </c>
      <c r="S787" s="3">
        <v>51.65</v>
      </c>
      <c r="T787" s="3">
        <v>174</v>
      </c>
      <c r="U787" s="3">
        <v>23</v>
      </c>
      <c r="V787" t="s">
        <v>81</v>
      </c>
    </row>
    <row r="788" spans="1:22" x14ac:dyDescent="0.3">
      <c r="A788" t="s">
        <v>872</v>
      </c>
      <c r="B788" s="1">
        <v>46167</v>
      </c>
      <c r="C788" t="s">
        <v>62</v>
      </c>
      <c r="D788" t="s">
        <v>53</v>
      </c>
      <c r="E788" t="s">
        <v>54</v>
      </c>
      <c r="F788" t="s">
        <v>35</v>
      </c>
      <c r="G788" t="s">
        <v>36</v>
      </c>
      <c r="H788">
        <v>1</v>
      </c>
      <c r="I788" s="3">
        <v>499</v>
      </c>
      <c r="J788" s="4">
        <v>10</v>
      </c>
      <c r="K788" s="3">
        <v>449</v>
      </c>
      <c r="L788" s="3">
        <v>449</v>
      </c>
      <c r="M788" t="s">
        <v>28</v>
      </c>
      <c r="N788" t="s">
        <v>37</v>
      </c>
      <c r="O788" s="3">
        <v>55</v>
      </c>
      <c r="P788" t="s">
        <v>30</v>
      </c>
      <c r="Q788" s="3">
        <v>34.340000000000003</v>
      </c>
      <c r="R788" s="3">
        <v>231.06</v>
      </c>
      <c r="S788" s="3">
        <v>128.6</v>
      </c>
      <c r="T788" s="3">
        <v>449</v>
      </c>
      <c r="U788" s="3">
        <v>22</v>
      </c>
      <c r="V788" t="s">
        <v>65</v>
      </c>
    </row>
    <row r="789" spans="1:22" x14ac:dyDescent="0.3">
      <c r="A789" t="s">
        <v>873</v>
      </c>
      <c r="B789" s="1">
        <v>46247</v>
      </c>
      <c r="C789" t="s">
        <v>67</v>
      </c>
      <c r="D789" t="s">
        <v>33</v>
      </c>
      <c r="E789" t="s">
        <v>34</v>
      </c>
      <c r="F789" t="s">
        <v>68</v>
      </c>
      <c r="G789" t="s">
        <v>27</v>
      </c>
      <c r="H789">
        <v>2</v>
      </c>
      <c r="I789" s="3">
        <v>599</v>
      </c>
      <c r="J789" s="4">
        <v>40</v>
      </c>
      <c r="K789" s="3">
        <v>359</v>
      </c>
      <c r="L789" s="3">
        <v>718</v>
      </c>
      <c r="M789" t="s">
        <v>64</v>
      </c>
      <c r="N789" t="s">
        <v>37</v>
      </c>
      <c r="O789" s="3">
        <v>65</v>
      </c>
      <c r="P789" t="s">
        <v>30</v>
      </c>
      <c r="Q789" s="3">
        <v>45.08</v>
      </c>
      <c r="R789" s="3">
        <v>326.2</v>
      </c>
      <c r="S789" s="3">
        <v>281.72000000000003</v>
      </c>
      <c r="T789" s="3">
        <v>359</v>
      </c>
      <c r="U789" s="3">
        <v>33</v>
      </c>
      <c r="V789" t="s">
        <v>71</v>
      </c>
    </row>
    <row r="790" spans="1:22" x14ac:dyDescent="0.3">
      <c r="A790" t="s">
        <v>874</v>
      </c>
      <c r="B790" s="1">
        <v>46126</v>
      </c>
      <c r="C790" t="s">
        <v>23</v>
      </c>
      <c r="D790" t="s">
        <v>93</v>
      </c>
      <c r="E790" t="s">
        <v>47</v>
      </c>
      <c r="F790" t="s">
        <v>55</v>
      </c>
      <c r="G790" t="s">
        <v>56</v>
      </c>
      <c r="H790">
        <v>1</v>
      </c>
      <c r="I790" s="3">
        <v>699</v>
      </c>
      <c r="J790" s="4">
        <v>20</v>
      </c>
      <c r="K790" s="3">
        <v>559</v>
      </c>
      <c r="L790" s="3">
        <v>559</v>
      </c>
      <c r="M790" t="s">
        <v>28</v>
      </c>
      <c r="N790" t="s">
        <v>37</v>
      </c>
      <c r="O790" s="3">
        <v>65</v>
      </c>
      <c r="P790" t="s">
        <v>30</v>
      </c>
      <c r="Q790" s="3">
        <v>25.55</v>
      </c>
      <c r="R790" s="3">
        <v>273.68</v>
      </c>
      <c r="S790" s="3">
        <v>194.77</v>
      </c>
      <c r="T790" s="3">
        <v>559</v>
      </c>
      <c r="U790" s="3">
        <v>16</v>
      </c>
      <c r="V790" t="s">
        <v>31</v>
      </c>
    </row>
    <row r="791" spans="1:22" x14ac:dyDescent="0.3">
      <c r="A791" t="s">
        <v>875</v>
      </c>
      <c r="B791" s="1">
        <v>46126</v>
      </c>
      <c r="C791" t="s">
        <v>23</v>
      </c>
      <c r="D791" t="s">
        <v>53</v>
      </c>
      <c r="E791" t="s">
        <v>54</v>
      </c>
      <c r="F791" t="s">
        <v>26</v>
      </c>
      <c r="G791" t="s">
        <v>27</v>
      </c>
      <c r="H791">
        <v>2</v>
      </c>
      <c r="I791" s="3">
        <v>499</v>
      </c>
      <c r="J791" s="4">
        <v>35</v>
      </c>
      <c r="K791" s="3">
        <v>324</v>
      </c>
      <c r="L791" s="3">
        <v>648</v>
      </c>
      <c r="M791" t="s">
        <v>28</v>
      </c>
      <c r="N791" t="s">
        <v>37</v>
      </c>
      <c r="O791" s="3">
        <v>45</v>
      </c>
      <c r="P791" t="s">
        <v>30</v>
      </c>
      <c r="Q791" s="3">
        <v>43.95</v>
      </c>
      <c r="R791" s="3">
        <v>325.64999999999998</v>
      </c>
      <c r="S791" s="3">
        <v>233.4</v>
      </c>
      <c r="T791" s="3">
        <v>324</v>
      </c>
      <c r="U791" s="3">
        <v>16</v>
      </c>
      <c r="V791" t="s">
        <v>31</v>
      </c>
    </row>
    <row r="792" spans="1:22" x14ac:dyDescent="0.3">
      <c r="A792" t="s">
        <v>876</v>
      </c>
      <c r="B792" s="1">
        <v>46061</v>
      </c>
      <c r="C792" t="s">
        <v>95</v>
      </c>
      <c r="D792" t="s">
        <v>115</v>
      </c>
      <c r="E792" t="s">
        <v>116</v>
      </c>
      <c r="F792" t="s">
        <v>68</v>
      </c>
      <c r="G792" t="s">
        <v>27</v>
      </c>
      <c r="H792">
        <v>1</v>
      </c>
      <c r="I792" s="3">
        <v>249</v>
      </c>
      <c r="J792" s="4">
        <v>15</v>
      </c>
      <c r="K792" s="3">
        <v>212</v>
      </c>
      <c r="L792" s="3">
        <v>212</v>
      </c>
      <c r="M792" t="s">
        <v>28</v>
      </c>
      <c r="N792" t="s">
        <v>37</v>
      </c>
      <c r="O792" s="3">
        <v>55</v>
      </c>
      <c r="P792" t="s">
        <v>30</v>
      </c>
      <c r="Q792" s="3">
        <v>10.73</v>
      </c>
      <c r="R792" s="3">
        <v>108.2</v>
      </c>
      <c r="S792" s="3">
        <v>38.07</v>
      </c>
      <c r="T792" s="3">
        <v>212</v>
      </c>
      <c r="U792" s="3">
        <v>6</v>
      </c>
      <c r="V792" t="s">
        <v>96</v>
      </c>
    </row>
    <row r="793" spans="1:22" x14ac:dyDescent="0.3">
      <c r="A793" t="s">
        <v>877</v>
      </c>
      <c r="B793" s="1">
        <v>46220</v>
      </c>
      <c r="C793" t="s">
        <v>45</v>
      </c>
      <c r="D793" t="s">
        <v>93</v>
      </c>
      <c r="E793" t="s">
        <v>47</v>
      </c>
      <c r="F793" t="s">
        <v>35</v>
      </c>
      <c r="G793" t="s">
        <v>36</v>
      </c>
      <c r="H793">
        <v>3</v>
      </c>
      <c r="I793" s="3">
        <v>699</v>
      </c>
      <c r="J793" s="4">
        <v>40</v>
      </c>
      <c r="K793" s="3">
        <v>419</v>
      </c>
      <c r="L793" s="3">
        <v>1257</v>
      </c>
      <c r="M793" t="s">
        <v>69</v>
      </c>
      <c r="N793" t="s">
        <v>29</v>
      </c>
      <c r="O793" s="3">
        <v>35</v>
      </c>
      <c r="P793" t="s">
        <v>70</v>
      </c>
      <c r="Q793" s="3">
        <v>63.17</v>
      </c>
      <c r="R793" s="3">
        <v>551.87</v>
      </c>
      <c r="S793" s="3">
        <v>606.96</v>
      </c>
      <c r="T793" s="3">
        <v>419</v>
      </c>
      <c r="U793" s="3">
        <v>29</v>
      </c>
      <c r="V793" t="s">
        <v>50</v>
      </c>
    </row>
    <row r="794" spans="1:22" x14ac:dyDescent="0.3">
      <c r="A794" t="s">
        <v>878</v>
      </c>
      <c r="B794" s="1">
        <v>46156</v>
      </c>
      <c r="C794" t="s">
        <v>62</v>
      </c>
      <c r="D794" t="s">
        <v>112</v>
      </c>
      <c r="E794" t="s">
        <v>47</v>
      </c>
      <c r="F794" t="s">
        <v>79</v>
      </c>
      <c r="G794" t="s">
        <v>80</v>
      </c>
      <c r="H794">
        <v>2</v>
      </c>
      <c r="I794" s="3">
        <v>299</v>
      </c>
      <c r="J794" s="4">
        <v>10</v>
      </c>
      <c r="K794" s="3">
        <v>269</v>
      </c>
      <c r="L794" s="3">
        <v>538</v>
      </c>
      <c r="M794" t="s">
        <v>28</v>
      </c>
      <c r="N794" t="s">
        <v>37</v>
      </c>
      <c r="O794" s="3">
        <v>65</v>
      </c>
      <c r="P794" t="s">
        <v>30</v>
      </c>
      <c r="Q794" s="3">
        <v>31.95</v>
      </c>
      <c r="R794" s="3">
        <v>245.06</v>
      </c>
      <c r="S794" s="3">
        <v>195.99</v>
      </c>
      <c r="T794" s="3">
        <v>269</v>
      </c>
      <c r="U794" s="3">
        <v>20</v>
      </c>
      <c r="V794" t="s">
        <v>65</v>
      </c>
    </row>
    <row r="795" spans="1:22" x14ac:dyDescent="0.3">
      <c r="A795" t="s">
        <v>879</v>
      </c>
      <c r="B795" s="1">
        <v>46089</v>
      </c>
      <c r="C795" t="s">
        <v>39</v>
      </c>
      <c r="D795" t="s">
        <v>130</v>
      </c>
      <c r="E795" t="s">
        <v>54</v>
      </c>
      <c r="F795" t="s">
        <v>26</v>
      </c>
      <c r="G795" t="s">
        <v>27</v>
      </c>
      <c r="H795">
        <v>1</v>
      </c>
      <c r="I795" s="3">
        <v>699</v>
      </c>
      <c r="J795" s="4">
        <v>5</v>
      </c>
      <c r="K795" s="3">
        <v>664</v>
      </c>
      <c r="L795" s="3">
        <v>664</v>
      </c>
      <c r="M795" t="s">
        <v>28</v>
      </c>
      <c r="N795" t="s">
        <v>29</v>
      </c>
      <c r="O795" s="3">
        <v>35</v>
      </c>
      <c r="P795" t="s">
        <v>30</v>
      </c>
      <c r="Q795" s="3">
        <v>34.57</v>
      </c>
      <c r="R795" s="3">
        <v>285.16000000000003</v>
      </c>
      <c r="S795" s="3">
        <v>309.27</v>
      </c>
      <c r="T795" s="3">
        <v>664</v>
      </c>
      <c r="U795" s="3">
        <v>10</v>
      </c>
      <c r="V795" t="s">
        <v>43</v>
      </c>
    </row>
    <row r="796" spans="1:22" x14ac:dyDescent="0.3">
      <c r="A796" t="s">
        <v>880</v>
      </c>
      <c r="B796" s="1">
        <v>46201</v>
      </c>
      <c r="C796" t="s">
        <v>78</v>
      </c>
      <c r="D796" t="s">
        <v>93</v>
      </c>
      <c r="E796" t="s">
        <v>47</v>
      </c>
      <c r="F796" t="s">
        <v>109</v>
      </c>
      <c r="G796" t="s">
        <v>110</v>
      </c>
      <c r="H796">
        <v>1</v>
      </c>
      <c r="I796" s="3">
        <v>699</v>
      </c>
      <c r="J796" s="4">
        <v>10</v>
      </c>
      <c r="K796" s="3">
        <v>629</v>
      </c>
      <c r="L796" s="3">
        <v>629</v>
      </c>
      <c r="M796" t="s">
        <v>102</v>
      </c>
      <c r="N796" t="s">
        <v>37</v>
      </c>
      <c r="O796" s="3">
        <v>35</v>
      </c>
      <c r="P796" t="s">
        <v>30</v>
      </c>
      <c r="Q796" s="3">
        <v>30.39</v>
      </c>
      <c r="R796" s="3">
        <v>295.89</v>
      </c>
      <c r="S796" s="3">
        <v>267.72000000000003</v>
      </c>
      <c r="T796" s="3">
        <v>629</v>
      </c>
      <c r="U796" s="3">
        <v>26</v>
      </c>
      <c r="V796" t="s">
        <v>81</v>
      </c>
    </row>
    <row r="797" spans="1:22" x14ac:dyDescent="0.3">
      <c r="A797" t="s">
        <v>881</v>
      </c>
      <c r="B797" s="1">
        <v>46064</v>
      </c>
      <c r="C797" t="s">
        <v>95</v>
      </c>
      <c r="D797" t="s">
        <v>40</v>
      </c>
      <c r="E797" t="s">
        <v>41</v>
      </c>
      <c r="F797" t="s">
        <v>42</v>
      </c>
      <c r="G797" t="s">
        <v>27</v>
      </c>
      <c r="H797">
        <v>2</v>
      </c>
      <c r="I797" s="3">
        <v>449</v>
      </c>
      <c r="J797" s="4">
        <v>30</v>
      </c>
      <c r="K797" s="3">
        <v>314</v>
      </c>
      <c r="L797" s="3">
        <v>628</v>
      </c>
      <c r="M797" t="s">
        <v>76</v>
      </c>
      <c r="N797" t="s">
        <v>29</v>
      </c>
      <c r="O797" s="3">
        <v>65</v>
      </c>
      <c r="P797" t="s">
        <v>30</v>
      </c>
      <c r="Q797" s="3">
        <v>38.869999999999997</v>
      </c>
      <c r="R797" s="3">
        <v>267.8</v>
      </c>
      <c r="S797" s="3">
        <v>256.33</v>
      </c>
      <c r="T797" s="3">
        <v>314</v>
      </c>
      <c r="U797" s="3">
        <v>7</v>
      </c>
      <c r="V797" t="s">
        <v>96</v>
      </c>
    </row>
    <row r="798" spans="1:22" x14ac:dyDescent="0.3">
      <c r="A798" t="s">
        <v>882</v>
      </c>
      <c r="B798" s="1">
        <v>46037</v>
      </c>
      <c r="C798" t="s">
        <v>52</v>
      </c>
      <c r="D798" t="s">
        <v>24</v>
      </c>
      <c r="E798" t="s">
        <v>25</v>
      </c>
      <c r="F798" t="s">
        <v>68</v>
      </c>
      <c r="G798" t="s">
        <v>27</v>
      </c>
      <c r="H798">
        <v>2</v>
      </c>
      <c r="I798" s="3">
        <v>349</v>
      </c>
      <c r="J798" s="4">
        <v>25</v>
      </c>
      <c r="K798" s="3">
        <v>262</v>
      </c>
      <c r="L798" s="3">
        <v>524</v>
      </c>
      <c r="M798" t="s">
        <v>28</v>
      </c>
      <c r="N798" t="s">
        <v>37</v>
      </c>
      <c r="O798" s="3">
        <v>45</v>
      </c>
      <c r="P798" t="s">
        <v>30</v>
      </c>
      <c r="Q798" s="3">
        <v>34.36</v>
      </c>
      <c r="R798" s="3">
        <v>226.84</v>
      </c>
      <c r="S798" s="3">
        <v>217.8</v>
      </c>
      <c r="T798" s="3">
        <v>262</v>
      </c>
      <c r="U798" s="3">
        <v>3</v>
      </c>
      <c r="V798" t="s">
        <v>57</v>
      </c>
    </row>
    <row r="799" spans="1:22" x14ac:dyDescent="0.3">
      <c r="A799" t="s">
        <v>883</v>
      </c>
      <c r="B799" s="1">
        <v>46133</v>
      </c>
      <c r="C799" t="s">
        <v>23</v>
      </c>
      <c r="D799" t="s">
        <v>130</v>
      </c>
      <c r="E799" t="s">
        <v>54</v>
      </c>
      <c r="F799" t="s">
        <v>42</v>
      </c>
      <c r="G799" t="s">
        <v>27</v>
      </c>
      <c r="H799">
        <v>1</v>
      </c>
      <c r="I799" s="3">
        <v>699</v>
      </c>
      <c r="J799" s="4">
        <v>10</v>
      </c>
      <c r="K799" s="3">
        <v>629</v>
      </c>
      <c r="L799" s="3">
        <v>629</v>
      </c>
      <c r="M799" t="s">
        <v>28</v>
      </c>
      <c r="N799" t="s">
        <v>37</v>
      </c>
      <c r="O799" s="3">
        <v>55</v>
      </c>
      <c r="P799" t="s">
        <v>30</v>
      </c>
      <c r="Q799" s="3">
        <v>32.65</v>
      </c>
      <c r="R799" s="3">
        <v>313.83</v>
      </c>
      <c r="S799" s="3">
        <v>227.52</v>
      </c>
      <c r="T799" s="3">
        <v>629</v>
      </c>
      <c r="U799" s="3">
        <v>17</v>
      </c>
      <c r="V799" t="s">
        <v>31</v>
      </c>
    </row>
    <row r="800" spans="1:22" x14ac:dyDescent="0.3">
      <c r="A800" t="s">
        <v>884</v>
      </c>
      <c r="B800" s="1">
        <v>46179</v>
      </c>
      <c r="C800" t="s">
        <v>78</v>
      </c>
      <c r="D800" t="s">
        <v>24</v>
      </c>
      <c r="E800" t="s">
        <v>25</v>
      </c>
      <c r="F800" t="s">
        <v>42</v>
      </c>
      <c r="G800" t="s">
        <v>27</v>
      </c>
      <c r="H800">
        <v>1</v>
      </c>
      <c r="I800" s="3">
        <v>349</v>
      </c>
      <c r="J800" s="4">
        <v>20</v>
      </c>
      <c r="K800" s="3">
        <v>279</v>
      </c>
      <c r="L800" s="3">
        <v>279</v>
      </c>
      <c r="M800" t="s">
        <v>28</v>
      </c>
      <c r="N800" t="s">
        <v>37</v>
      </c>
      <c r="O800" s="3">
        <v>35</v>
      </c>
      <c r="P800" t="s">
        <v>30</v>
      </c>
      <c r="Q800" s="3">
        <v>22.01</v>
      </c>
      <c r="R800" s="3">
        <v>134.11000000000001</v>
      </c>
      <c r="S800" s="3">
        <v>87.88</v>
      </c>
      <c r="T800" s="3">
        <v>279</v>
      </c>
      <c r="U800" s="3">
        <v>23</v>
      </c>
      <c r="V800" t="s">
        <v>81</v>
      </c>
    </row>
    <row r="801" spans="1:22" x14ac:dyDescent="0.3">
      <c r="A801" t="s">
        <v>885</v>
      </c>
      <c r="B801" s="1">
        <v>46253</v>
      </c>
      <c r="C801" t="s">
        <v>67</v>
      </c>
      <c r="D801" t="s">
        <v>40</v>
      </c>
      <c r="E801" t="s">
        <v>41</v>
      </c>
      <c r="F801" t="s">
        <v>79</v>
      </c>
      <c r="G801" t="s">
        <v>80</v>
      </c>
      <c r="H801">
        <v>2</v>
      </c>
      <c r="I801" s="3">
        <v>449</v>
      </c>
      <c r="J801" s="4">
        <v>15</v>
      </c>
      <c r="K801" s="3">
        <v>382</v>
      </c>
      <c r="L801" s="3">
        <v>764</v>
      </c>
      <c r="M801" t="s">
        <v>28</v>
      </c>
      <c r="N801" t="s">
        <v>37</v>
      </c>
      <c r="O801" s="3">
        <v>65</v>
      </c>
      <c r="P801" t="s">
        <v>30</v>
      </c>
      <c r="Q801" s="3">
        <v>52.04</v>
      </c>
      <c r="R801" s="3">
        <v>326.08</v>
      </c>
      <c r="S801" s="3">
        <v>320.88</v>
      </c>
      <c r="T801" s="3">
        <v>382</v>
      </c>
      <c r="U801" s="3">
        <v>34</v>
      </c>
      <c r="V801" t="s">
        <v>71</v>
      </c>
    </row>
    <row r="802" spans="1:22" x14ac:dyDescent="0.3">
      <c r="A802" t="s">
        <v>886</v>
      </c>
      <c r="B802" s="1">
        <v>46179</v>
      </c>
      <c r="C802" t="s">
        <v>78</v>
      </c>
      <c r="D802" t="s">
        <v>24</v>
      </c>
      <c r="E802" t="s">
        <v>25</v>
      </c>
      <c r="F802" t="s">
        <v>68</v>
      </c>
      <c r="G802" t="s">
        <v>27</v>
      </c>
      <c r="H802">
        <v>1</v>
      </c>
      <c r="I802" s="3">
        <v>349</v>
      </c>
      <c r="J802" s="4">
        <v>10</v>
      </c>
      <c r="K802" s="3">
        <v>314</v>
      </c>
      <c r="L802" s="3">
        <v>314</v>
      </c>
      <c r="M802" t="s">
        <v>28</v>
      </c>
      <c r="N802" t="s">
        <v>37</v>
      </c>
      <c r="O802" s="3">
        <v>65</v>
      </c>
      <c r="P802" t="s">
        <v>30</v>
      </c>
      <c r="Q802" s="3">
        <v>23.38</v>
      </c>
      <c r="R802" s="3">
        <v>161.46</v>
      </c>
      <c r="S802" s="3">
        <v>64.16</v>
      </c>
      <c r="T802" s="3">
        <v>314</v>
      </c>
      <c r="U802" s="3">
        <v>23</v>
      </c>
      <c r="V802" t="s">
        <v>81</v>
      </c>
    </row>
    <row r="803" spans="1:22" x14ac:dyDescent="0.3">
      <c r="A803" t="s">
        <v>887</v>
      </c>
      <c r="B803" s="1">
        <v>46060</v>
      </c>
      <c r="C803" t="s">
        <v>95</v>
      </c>
      <c r="D803" t="s">
        <v>63</v>
      </c>
      <c r="E803" t="s">
        <v>47</v>
      </c>
      <c r="F803" t="s">
        <v>68</v>
      </c>
      <c r="G803" t="s">
        <v>27</v>
      </c>
      <c r="H803">
        <v>2</v>
      </c>
      <c r="I803" s="3">
        <v>399</v>
      </c>
      <c r="J803" s="4">
        <v>35</v>
      </c>
      <c r="K803" s="3">
        <v>259</v>
      </c>
      <c r="L803" s="3">
        <v>518</v>
      </c>
      <c r="M803" t="s">
        <v>28</v>
      </c>
      <c r="N803" t="s">
        <v>37</v>
      </c>
      <c r="O803" s="3">
        <v>35</v>
      </c>
      <c r="P803" t="s">
        <v>30</v>
      </c>
      <c r="Q803" s="3">
        <v>31.78</v>
      </c>
      <c r="R803" s="3">
        <v>266.45999999999998</v>
      </c>
      <c r="S803" s="3">
        <v>184.76</v>
      </c>
      <c r="T803" s="3">
        <v>259</v>
      </c>
      <c r="U803" s="3">
        <v>6</v>
      </c>
      <c r="V803" t="s">
        <v>96</v>
      </c>
    </row>
    <row r="804" spans="1:22" x14ac:dyDescent="0.3">
      <c r="A804" t="s">
        <v>888</v>
      </c>
      <c r="B804" s="1">
        <v>46119</v>
      </c>
      <c r="C804" t="s">
        <v>23</v>
      </c>
      <c r="D804" t="s">
        <v>112</v>
      </c>
      <c r="E804" t="s">
        <v>47</v>
      </c>
      <c r="F804" t="s">
        <v>55</v>
      </c>
      <c r="G804" t="s">
        <v>56</v>
      </c>
      <c r="H804">
        <v>1</v>
      </c>
      <c r="I804" s="3">
        <v>299</v>
      </c>
      <c r="J804" s="4">
        <v>20</v>
      </c>
      <c r="K804" s="3">
        <v>239</v>
      </c>
      <c r="L804" s="3">
        <v>239</v>
      </c>
      <c r="M804" t="s">
        <v>28</v>
      </c>
      <c r="N804" t="s">
        <v>29</v>
      </c>
      <c r="O804" s="3">
        <v>35</v>
      </c>
      <c r="P804" t="s">
        <v>30</v>
      </c>
      <c r="Q804" s="3">
        <v>15.48</v>
      </c>
      <c r="R804" s="3">
        <v>116.53</v>
      </c>
      <c r="S804" s="3">
        <v>71.989999999999995</v>
      </c>
      <c r="T804" s="3">
        <v>239</v>
      </c>
      <c r="U804" s="3">
        <v>15</v>
      </c>
      <c r="V804" t="s">
        <v>31</v>
      </c>
    </row>
    <row r="805" spans="1:22" x14ac:dyDescent="0.3">
      <c r="A805" t="s">
        <v>889</v>
      </c>
      <c r="B805" s="1">
        <v>46276</v>
      </c>
      <c r="C805" t="s">
        <v>86</v>
      </c>
      <c r="D805" t="s">
        <v>33</v>
      </c>
      <c r="E805" t="s">
        <v>34</v>
      </c>
      <c r="F805" t="s">
        <v>100</v>
      </c>
      <c r="G805" t="s">
        <v>101</v>
      </c>
      <c r="H805">
        <v>1</v>
      </c>
      <c r="I805" s="3">
        <v>599</v>
      </c>
      <c r="J805" s="4">
        <v>5</v>
      </c>
      <c r="K805" s="3">
        <v>569</v>
      </c>
      <c r="L805" s="3">
        <v>569</v>
      </c>
      <c r="M805" t="s">
        <v>28</v>
      </c>
      <c r="N805" t="s">
        <v>29</v>
      </c>
      <c r="O805" s="3">
        <v>35</v>
      </c>
      <c r="P805" t="s">
        <v>30</v>
      </c>
      <c r="Q805" s="3">
        <v>26.59</v>
      </c>
      <c r="R805" s="3">
        <v>282.25</v>
      </c>
      <c r="S805" s="3">
        <v>225.16</v>
      </c>
      <c r="T805" s="3">
        <v>569</v>
      </c>
      <c r="U805" s="3">
        <v>37</v>
      </c>
      <c r="V805" t="s">
        <v>87</v>
      </c>
    </row>
    <row r="806" spans="1:22" x14ac:dyDescent="0.3">
      <c r="A806" t="s">
        <v>890</v>
      </c>
      <c r="B806" s="1">
        <v>46218</v>
      </c>
      <c r="C806" t="s">
        <v>45</v>
      </c>
      <c r="D806" t="s">
        <v>24</v>
      </c>
      <c r="E806" t="s">
        <v>25</v>
      </c>
      <c r="F806" t="s">
        <v>109</v>
      </c>
      <c r="G806" t="s">
        <v>110</v>
      </c>
      <c r="H806">
        <v>1</v>
      </c>
      <c r="I806" s="3">
        <v>349</v>
      </c>
      <c r="J806" s="4">
        <v>15</v>
      </c>
      <c r="K806" s="3">
        <v>297</v>
      </c>
      <c r="L806" s="3">
        <v>297</v>
      </c>
      <c r="M806" t="s">
        <v>28</v>
      </c>
      <c r="N806" t="s">
        <v>37</v>
      </c>
      <c r="O806" s="3">
        <v>65</v>
      </c>
      <c r="P806" t="s">
        <v>30</v>
      </c>
      <c r="Q806" s="3">
        <v>18.3</v>
      </c>
      <c r="R806" s="3">
        <v>149.97</v>
      </c>
      <c r="S806" s="3">
        <v>63.73</v>
      </c>
      <c r="T806" s="3">
        <v>297</v>
      </c>
      <c r="U806" s="3">
        <v>29</v>
      </c>
      <c r="V806" t="s">
        <v>50</v>
      </c>
    </row>
    <row r="807" spans="1:22" x14ac:dyDescent="0.3">
      <c r="A807" t="s">
        <v>891</v>
      </c>
      <c r="B807" s="1">
        <v>46108</v>
      </c>
      <c r="C807" t="s">
        <v>39</v>
      </c>
      <c r="D807" t="s">
        <v>112</v>
      </c>
      <c r="E807" t="s">
        <v>47</v>
      </c>
      <c r="F807" t="s">
        <v>100</v>
      </c>
      <c r="G807" t="s">
        <v>101</v>
      </c>
      <c r="H807">
        <v>1</v>
      </c>
      <c r="I807" s="3">
        <v>299</v>
      </c>
      <c r="J807" s="4">
        <v>25</v>
      </c>
      <c r="K807" s="3">
        <v>224</v>
      </c>
      <c r="L807" s="3">
        <v>224</v>
      </c>
      <c r="M807" t="s">
        <v>28</v>
      </c>
      <c r="N807" t="s">
        <v>37</v>
      </c>
      <c r="O807" s="3">
        <v>65</v>
      </c>
      <c r="P807" t="s">
        <v>30</v>
      </c>
      <c r="Q807" s="3">
        <v>15.18</v>
      </c>
      <c r="R807" s="3">
        <v>105.71</v>
      </c>
      <c r="S807" s="3">
        <v>38.11</v>
      </c>
      <c r="T807" s="3">
        <v>224</v>
      </c>
      <c r="U807" s="3">
        <v>13</v>
      </c>
      <c r="V807" t="s">
        <v>43</v>
      </c>
    </row>
    <row r="808" spans="1:22" x14ac:dyDescent="0.3">
      <c r="A808" t="s">
        <v>892</v>
      </c>
      <c r="B808" s="1">
        <v>46032</v>
      </c>
      <c r="C808" t="s">
        <v>52</v>
      </c>
      <c r="D808" t="s">
        <v>24</v>
      </c>
      <c r="E808" t="s">
        <v>25</v>
      </c>
      <c r="F808" t="s">
        <v>48</v>
      </c>
      <c r="G808" t="s">
        <v>49</v>
      </c>
      <c r="H808">
        <v>1</v>
      </c>
      <c r="I808" s="3">
        <v>349</v>
      </c>
      <c r="J808" s="4">
        <v>10</v>
      </c>
      <c r="K808" s="3">
        <v>314</v>
      </c>
      <c r="L808" s="3">
        <v>314</v>
      </c>
      <c r="M808" t="s">
        <v>28</v>
      </c>
      <c r="N808" t="s">
        <v>37</v>
      </c>
      <c r="O808" s="3">
        <v>35</v>
      </c>
      <c r="P808" t="s">
        <v>30</v>
      </c>
      <c r="Q808" s="3">
        <v>19.96</v>
      </c>
      <c r="R808" s="3">
        <v>134.68</v>
      </c>
      <c r="S808" s="3">
        <v>124.36</v>
      </c>
      <c r="T808" s="3">
        <v>314</v>
      </c>
      <c r="U808" s="3">
        <v>2</v>
      </c>
      <c r="V808" t="s">
        <v>57</v>
      </c>
    </row>
    <row r="809" spans="1:22" x14ac:dyDescent="0.3">
      <c r="A809" t="s">
        <v>893</v>
      </c>
      <c r="B809" s="1">
        <v>46027</v>
      </c>
      <c r="C809" t="s">
        <v>52</v>
      </c>
      <c r="D809" t="s">
        <v>40</v>
      </c>
      <c r="E809" t="s">
        <v>41</v>
      </c>
      <c r="F809" t="s">
        <v>109</v>
      </c>
      <c r="G809" t="s">
        <v>110</v>
      </c>
      <c r="H809">
        <v>3</v>
      </c>
      <c r="I809" s="3">
        <v>449</v>
      </c>
      <c r="J809" s="4">
        <v>25</v>
      </c>
      <c r="K809" s="3">
        <v>337</v>
      </c>
      <c r="L809" s="3">
        <v>1011</v>
      </c>
      <c r="M809" t="s">
        <v>76</v>
      </c>
      <c r="N809" t="s">
        <v>37</v>
      </c>
      <c r="O809" s="3">
        <v>55</v>
      </c>
      <c r="P809" t="s">
        <v>30</v>
      </c>
      <c r="Q809" s="3">
        <v>51.88</v>
      </c>
      <c r="R809" s="3">
        <v>515.09</v>
      </c>
      <c r="S809" s="3">
        <v>389.03</v>
      </c>
      <c r="T809" s="3">
        <v>337</v>
      </c>
      <c r="U809" s="3">
        <v>2</v>
      </c>
      <c r="V809" t="s">
        <v>57</v>
      </c>
    </row>
    <row r="810" spans="1:22" x14ac:dyDescent="0.3">
      <c r="A810" t="s">
        <v>894</v>
      </c>
      <c r="B810" s="1">
        <v>46145</v>
      </c>
      <c r="C810" t="s">
        <v>62</v>
      </c>
      <c r="D810" t="s">
        <v>115</v>
      </c>
      <c r="E810" t="s">
        <v>116</v>
      </c>
      <c r="F810" t="s">
        <v>100</v>
      </c>
      <c r="G810" t="s">
        <v>101</v>
      </c>
      <c r="H810">
        <v>1</v>
      </c>
      <c r="I810" s="3">
        <v>249</v>
      </c>
      <c r="J810" s="4">
        <v>10</v>
      </c>
      <c r="K810" s="3">
        <v>224</v>
      </c>
      <c r="L810" s="3">
        <v>224</v>
      </c>
      <c r="M810" t="s">
        <v>102</v>
      </c>
      <c r="N810" t="s">
        <v>29</v>
      </c>
      <c r="O810" s="3">
        <v>45</v>
      </c>
      <c r="P810" t="s">
        <v>30</v>
      </c>
      <c r="Q810" s="3">
        <v>15.14</v>
      </c>
      <c r="R810" s="3">
        <v>100.83</v>
      </c>
      <c r="S810" s="3">
        <v>63.03</v>
      </c>
      <c r="T810" s="3">
        <v>224</v>
      </c>
      <c r="U810" s="3">
        <v>18</v>
      </c>
      <c r="V810" t="s">
        <v>65</v>
      </c>
    </row>
    <row r="811" spans="1:22" x14ac:dyDescent="0.3">
      <c r="A811" t="s">
        <v>895</v>
      </c>
      <c r="B811" s="1">
        <v>46140</v>
      </c>
      <c r="C811" t="s">
        <v>23</v>
      </c>
      <c r="D811" t="s">
        <v>59</v>
      </c>
      <c r="E811" t="s">
        <v>60</v>
      </c>
      <c r="F811" t="s">
        <v>55</v>
      </c>
      <c r="G811" t="s">
        <v>56</v>
      </c>
      <c r="H811">
        <v>1</v>
      </c>
      <c r="I811" s="3">
        <v>299</v>
      </c>
      <c r="J811" s="4">
        <v>20</v>
      </c>
      <c r="K811" s="3">
        <v>239</v>
      </c>
      <c r="L811" s="3">
        <v>239</v>
      </c>
      <c r="M811" t="s">
        <v>28</v>
      </c>
      <c r="N811" t="s">
        <v>37</v>
      </c>
      <c r="O811" s="3">
        <v>55</v>
      </c>
      <c r="P811" t="s">
        <v>30</v>
      </c>
      <c r="Q811" s="3">
        <v>15.96</v>
      </c>
      <c r="R811" s="3">
        <v>123.58</v>
      </c>
      <c r="S811" s="3">
        <v>44.46</v>
      </c>
      <c r="T811" s="3">
        <v>239</v>
      </c>
      <c r="U811" s="3">
        <v>18</v>
      </c>
      <c r="V811" t="s">
        <v>31</v>
      </c>
    </row>
    <row r="812" spans="1:22" x14ac:dyDescent="0.3">
      <c r="A812" t="s">
        <v>896</v>
      </c>
      <c r="B812" s="1">
        <v>46181</v>
      </c>
      <c r="C812" t="s">
        <v>78</v>
      </c>
      <c r="D812" t="s">
        <v>93</v>
      </c>
      <c r="E812" t="s">
        <v>47</v>
      </c>
      <c r="F812" t="s">
        <v>55</v>
      </c>
      <c r="G812" t="s">
        <v>56</v>
      </c>
      <c r="H812">
        <v>1</v>
      </c>
      <c r="I812" s="3">
        <v>699</v>
      </c>
      <c r="J812" s="4">
        <v>20</v>
      </c>
      <c r="K812" s="3">
        <v>559</v>
      </c>
      <c r="L812" s="3">
        <v>559</v>
      </c>
      <c r="M812" t="s">
        <v>28</v>
      </c>
      <c r="N812" t="s">
        <v>29</v>
      </c>
      <c r="O812" s="3">
        <v>35</v>
      </c>
      <c r="P812" t="s">
        <v>30</v>
      </c>
      <c r="Q812" s="3">
        <v>29.18</v>
      </c>
      <c r="R812" s="3">
        <v>273.23</v>
      </c>
      <c r="S812" s="3">
        <v>221.59</v>
      </c>
      <c r="T812" s="3">
        <v>559</v>
      </c>
      <c r="U812" s="3">
        <v>24</v>
      </c>
      <c r="V812" t="s">
        <v>81</v>
      </c>
    </row>
    <row r="813" spans="1:22" x14ac:dyDescent="0.3">
      <c r="A813" t="s">
        <v>897</v>
      </c>
      <c r="B813" s="1">
        <v>46250</v>
      </c>
      <c r="C813" t="s">
        <v>67</v>
      </c>
      <c r="D813" t="s">
        <v>74</v>
      </c>
      <c r="E813" t="s">
        <v>75</v>
      </c>
      <c r="F813" t="s">
        <v>42</v>
      </c>
      <c r="G813" t="s">
        <v>27</v>
      </c>
      <c r="H813">
        <v>1</v>
      </c>
      <c r="I813" s="3">
        <v>549</v>
      </c>
      <c r="J813" s="4">
        <v>25</v>
      </c>
      <c r="K813" s="3">
        <v>412</v>
      </c>
      <c r="L813" s="3">
        <v>412</v>
      </c>
      <c r="M813" t="s">
        <v>28</v>
      </c>
      <c r="N813" t="s">
        <v>37</v>
      </c>
      <c r="O813" s="3">
        <v>35</v>
      </c>
      <c r="P813" t="s">
        <v>30</v>
      </c>
      <c r="Q813" s="3">
        <v>19.579999999999998</v>
      </c>
      <c r="R813" s="3">
        <v>199.95</v>
      </c>
      <c r="S813" s="3">
        <v>157.47</v>
      </c>
      <c r="T813" s="3">
        <v>412</v>
      </c>
      <c r="U813" s="3">
        <v>33</v>
      </c>
      <c r="V813" t="s">
        <v>71</v>
      </c>
    </row>
    <row r="814" spans="1:22" x14ac:dyDescent="0.3">
      <c r="A814" t="s">
        <v>898</v>
      </c>
      <c r="B814" s="1">
        <v>46238</v>
      </c>
      <c r="C814" t="s">
        <v>67</v>
      </c>
      <c r="D814" t="s">
        <v>63</v>
      </c>
      <c r="E814" t="s">
        <v>47</v>
      </c>
      <c r="F814" t="s">
        <v>35</v>
      </c>
      <c r="G814" t="s">
        <v>36</v>
      </c>
      <c r="H814">
        <v>1</v>
      </c>
      <c r="I814" s="3">
        <v>399</v>
      </c>
      <c r="J814" s="4">
        <v>30</v>
      </c>
      <c r="K814" s="3">
        <v>279</v>
      </c>
      <c r="L814" s="3">
        <v>279</v>
      </c>
      <c r="M814" t="s">
        <v>28</v>
      </c>
      <c r="N814" t="s">
        <v>37</v>
      </c>
      <c r="O814" s="3">
        <v>45</v>
      </c>
      <c r="P814" t="s">
        <v>30</v>
      </c>
      <c r="Q814" s="3">
        <v>18.59</v>
      </c>
      <c r="R814" s="3">
        <v>125.17</v>
      </c>
      <c r="S814" s="3">
        <v>90.24</v>
      </c>
      <c r="T814" s="3">
        <v>279</v>
      </c>
      <c r="U814" s="3">
        <v>32</v>
      </c>
      <c r="V814" t="s">
        <v>71</v>
      </c>
    </row>
    <row r="815" spans="1:22" x14ac:dyDescent="0.3">
      <c r="A815" t="s">
        <v>899</v>
      </c>
      <c r="B815" s="1">
        <v>46206</v>
      </c>
      <c r="C815" t="s">
        <v>45</v>
      </c>
      <c r="D815" t="s">
        <v>63</v>
      </c>
      <c r="E815" t="s">
        <v>47</v>
      </c>
      <c r="F815" t="s">
        <v>68</v>
      </c>
      <c r="G815" t="s">
        <v>27</v>
      </c>
      <c r="H815">
        <v>1</v>
      </c>
      <c r="I815" s="3">
        <v>399</v>
      </c>
      <c r="J815" s="4">
        <v>5</v>
      </c>
      <c r="K815" s="3">
        <v>379</v>
      </c>
      <c r="L815" s="3">
        <v>379</v>
      </c>
      <c r="M815" t="s">
        <v>102</v>
      </c>
      <c r="N815" t="s">
        <v>37</v>
      </c>
      <c r="O815" s="3">
        <v>35</v>
      </c>
      <c r="P815" t="s">
        <v>30</v>
      </c>
      <c r="Q815" s="3">
        <v>28.21</v>
      </c>
      <c r="R815" s="3">
        <v>159.38999999999999</v>
      </c>
      <c r="S815" s="3">
        <v>156.4</v>
      </c>
      <c r="T815" s="3">
        <v>379</v>
      </c>
      <c r="U815" s="3">
        <v>27</v>
      </c>
      <c r="V815" t="s">
        <v>50</v>
      </c>
    </row>
    <row r="816" spans="1:22" x14ac:dyDescent="0.3">
      <c r="A816" t="s">
        <v>900</v>
      </c>
      <c r="B816" s="1">
        <v>46037</v>
      </c>
      <c r="C816" t="s">
        <v>52</v>
      </c>
      <c r="D816" t="s">
        <v>24</v>
      </c>
      <c r="E816" t="s">
        <v>25</v>
      </c>
      <c r="F816" t="s">
        <v>68</v>
      </c>
      <c r="G816" t="s">
        <v>27</v>
      </c>
      <c r="H816">
        <v>1</v>
      </c>
      <c r="I816" s="3">
        <v>349</v>
      </c>
      <c r="J816" s="4">
        <v>10</v>
      </c>
      <c r="K816" s="3">
        <v>314</v>
      </c>
      <c r="L816" s="3">
        <v>314</v>
      </c>
      <c r="M816" t="s">
        <v>76</v>
      </c>
      <c r="N816" t="s">
        <v>29</v>
      </c>
      <c r="O816" s="3">
        <v>45</v>
      </c>
      <c r="P816" t="s">
        <v>30</v>
      </c>
      <c r="Q816" s="3">
        <v>22.26</v>
      </c>
      <c r="R816" s="3">
        <v>158.33000000000001</v>
      </c>
      <c r="S816" s="3">
        <v>88.41</v>
      </c>
      <c r="T816" s="3">
        <v>314</v>
      </c>
      <c r="U816" s="3">
        <v>3</v>
      </c>
      <c r="V816" t="s">
        <v>57</v>
      </c>
    </row>
    <row r="817" spans="1:22" x14ac:dyDescent="0.3">
      <c r="A817" t="s">
        <v>901</v>
      </c>
      <c r="B817" s="1">
        <v>46179</v>
      </c>
      <c r="C817" t="s">
        <v>78</v>
      </c>
      <c r="D817" t="s">
        <v>130</v>
      </c>
      <c r="E817" t="s">
        <v>54</v>
      </c>
      <c r="F817" t="s">
        <v>100</v>
      </c>
      <c r="G817" t="s">
        <v>101</v>
      </c>
      <c r="H817">
        <v>2</v>
      </c>
      <c r="I817" s="3">
        <v>699</v>
      </c>
      <c r="J817" s="4">
        <v>15</v>
      </c>
      <c r="K817" s="3">
        <v>594</v>
      </c>
      <c r="L817" s="3">
        <v>1188</v>
      </c>
      <c r="M817" t="s">
        <v>102</v>
      </c>
      <c r="N817" t="s">
        <v>29</v>
      </c>
      <c r="O817" s="3">
        <v>45</v>
      </c>
      <c r="P817" t="s">
        <v>30</v>
      </c>
      <c r="Q817" s="3">
        <v>60.25</v>
      </c>
      <c r="R817" s="3">
        <v>570.72</v>
      </c>
      <c r="S817" s="3">
        <v>512.03</v>
      </c>
      <c r="T817" s="3">
        <v>594</v>
      </c>
      <c r="U817" s="3">
        <v>23</v>
      </c>
      <c r="V817" t="s">
        <v>81</v>
      </c>
    </row>
    <row r="818" spans="1:22" x14ac:dyDescent="0.3">
      <c r="A818" t="s">
        <v>902</v>
      </c>
      <c r="B818" s="1">
        <v>46158</v>
      </c>
      <c r="C818" t="s">
        <v>62</v>
      </c>
      <c r="D818" t="s">
        <v>115</v>
      </c>
      <c r="E818" t="s">
        <v>116</v>
      </c>
      <c r="F818" t="s">
        <v>84</v>
      </c>
      <c r="G818" t="s">
        <v>84</v>
      </c>
      <c r="H818">
        <v>1</v>
      </c>
      <c r="I818" s="3">
        <v>249</v>
      </c>
      <c r="J818" s="4">
        <v>15</v>
      </c>
      <c r="K818" s="3">
        <v>212</v>
      </c>
      <c r="L818" s="3">
        <v>212</v>
      </c>
      <c r="M818" t="s">
        <v>28</v>
      </c>
      <c r="N818" t="s">
        <v>37</v>
      </c>
      <c r="O818" s="3">
        <v>35</v>
      </c>
      <c r="P818" t="s">
        <v>30</v>
      </c>
      <c r="Q818" s="3">
        <v>15.65</v>
      </c>
      <c r="R818" s="3">
        <v>101.99</v>
      </c>
      <c r="S818" s="3">
        <v>59.36</v>
      </c>
      <c r="T818" s="3">
        <v>212</v>
      </c>
      <c r="U818" s="3">
        <v>20</v>
      </c>
      <c r="V818" t="s">
        <v>65</v>
      </c>
    </row>
    <row r="819" spans="1:22" x14ac:dyDescent="0.3">
      <c r="A819" t="s">
        <v>903</v>
      </c>
      <c r="B819" s="1">
        <v>46283</v>
      </c>
      <c r="C819" t="s">
        <v>86</v>
      </c>
      <c r="D819" t="s">
        <v>59</v>
      </c>
      <c r="E819" t="s">
        <v>60</v>
      </c>
      <c r="F819" t="s">
        <v>42</v>
      </c>
      <c r="G819" t="s">
        <v>27</v>
      </c>
      <c r="H819">
        <v>1</v>
      </c>
      <c r="I819" s="3">
        <v>299</v>
      </c>
      <c r="J819" s="4">
        <v>30</v>
      </c>
      <c r="K819" s="3">
        <v>209</v>
      </c>
      <c r="L819" s="3">
        <v>209</v>
      </c>
      <c r="M819" t="s">
        <v>76</v>
      </c>
      <c r="N819" t="s">
        <v>37</v>
      </c>
      <c r="O819" s="3">
        <v>45</v>
      </c>
      <c r="P819" t="s">
        <v>30</v>
      </c>
      <c r="Q819" s="3">
        <v>14.2</v>
      </c>
      <c r="R819" s="3">
        <v>93.87</v>
      </c>
      <c r="S819" s="3">
        <v>55.93</v>
      </c>
      <c r="T819" s="3">
        <v>209</v>
      </c>
      <c r="U819" s="3">
        <v>38</v>
      </c>
      <c r="V819" t="s">
        <v>87</v>
      </c>
    </row>
    <row r="820" spans="1:22" x14ac:dyDescent="0.3">
      <c r="A820" t="s">
        <v>904</v>
      </c>
      <c r="B820" s="1">
        <v>46179</v>
      </c>
      <c r="C820" t="s">
        <v>78</v>
      </c>
      <c r="D820" t="s">
        <v>53</v>
      </c>
      <c r="E820" t="s">
        <v>54</v>
      </c>
      <c r="F820" t="s">
        <v>42</v>
      </c>
      <c r="G820" t="s">
        <v>27</v>
      </c>
      <c r="H820">
        <v>1</v>
      </c>
      <c r="I820" s="3">
        <v>499</v>
      </c>
      <c r="J820" s="4">
        <v>25</v>
      </c>
      <c r="K820" s="3">
        <v>374</v>
      </c>
      <c r="L820" s="3">
        <v>374</v>
      </c>
      <c r="M820" t="s">
        <v>28</v>
      </c>
      <c r="N820" t="s">
        <v>37</v>
      </c>
      <c r="O820" s="3">
        <v>55</v>
      </c>
      <c r="P820" t="s">
        <v>30</v>
      </c>
      <c r="Q820" s="3">
        <v>15.08</v>
      </c>
      <c r="R820" s="3">
        <v>160.63999999999999</v>
      </c>
      <c r="S820" s="3">
        <v>143.28</v>
      </c>
      <c r="T820" s="3">
        <v>374</v>
      </c>
      <c r="U820" s="3">
        <v>23</v>
      </c>
      <c r="V820" t="s">
        <v>81</v>
      </c>
    </row>
    <row r="821" spans="1:22" x14ac:dyDescent="0.3">
      <c r="A821" t="s">
        <v>905</v>
      </c>
      <c r="B821" s="1">
        <v>46069</v>
      </c>
      <c r="C821" t="s">
        <v>95</v>
      </c>
      <c r="D821" t="s">
        <v>93</v>
      </c>
      <c r="E821" t="s">
        <v>47</v>
      </c>
      <c r="F821" t="s">
        <v>84</v>
      </c>
      <c r="G821" t="s">
        <v>84</v>
      </c>
      <c r="H821">
        <v>1</v>
      </c>
      <c r="I821" s="3">
        <v>699</v>
      </c>
      <c r="J821" s="4">
        <v>20</v>
      </c>
      <c r="K821" s="3">
        <v>559</v>
      </c>
      <c r="L821" s="3">
        <v>559</v>
      </c>
      <c r="M821" t="s">
        <v>76</v>
      </c>
      <c r="N821" t="s">
        <v>29</v>
      </c>
      <c r="O821" s="3">
        <v>35</v>
      </c>
      <c r="P821" t="s">
        <v>30</v>
      </c>
      <c r="Q821" s="3">
        <v>40.54</v>
      </c>
      <c r="R821" s="3">
        <v>288.32</v>
      </c>
      <c r="S821" s="3">
        <v>195.14</v>
      </c>
      <c r="T821" s="3">
        <v>559</v>
      </c>
      <c r="U821" s="3">
        <v>8</v>
      </c>
      <c r="V821" t="s">
        <v>96</v>
      </c>
    </row>
    <row r="822" spans="1:22" x14ac:dyDescent="0.3">
      <c r="A822" t="s">
        <v>906</v>
      </c>
      <c r="B822" s="1">
        <v>46195</v>
      </c>
      <c r="C822" t="s">
        <v>78</v>
      </c>
      <c r="D822" t="s">
        <v>115</v>
      </c>
      <c r="E822" t="s">
        <v>116</v>
      </c>
      <c r="F822" t="s">
        <v>79</v>
      </c>
      <c r="G822" t="s">
        <v>80</v>
      </c>
      <c r="H822">
        <v>2</v>
      </c>
      <c r="I822" s="3">
        <v>249</v>
      </c>
      <c r="J822" s="4">
        <v>25</v>
      </c>
      <c r="K822" s="3">
        <v>187</v>
      </c>
      <c r="L822" s="3">
        <v>374</v>
      </c>
      <c r="M822" t="s">
        <v>28</v>
      </c>
      <c r="N822" t="s">
        <v>37</v>
      </c>
      <c r="O822" s="3">
        <v>65</v>
      </c>
      <c r="P822" t="s">
        <v>30</v>
      </c>
      <c r="Q822" s="3">
        <v>27.84</v>
      </c>
      <c r="R822" s="3">
        <v>160.01</v>
      </c>
      <c r="S822" s="3">
        <v>121.15</v>
      </c>
      <c r="T822" s="3">
        <v>187</v>
      </c>
      <c r="U822" s="3">
        <v>26</v>
      </c>
      <c r="V822" t="s">
        <v>81</v>
      </c>
    </row>
    <row r="823" spans="1:22" x14ac:dyDescent="0.3">
      <c r="A823" t="s">
        <v>907</v>
      </c>
      <c r="B823" s="1">
        <v>46152</v>
      </c>
      <c r="C823" t="s">
        <v>62</v>
      </c>
      <c r="D823" t="s">
        <v>63</v>
      </c>
      <c r="E823" t="s">
        <v>47</v>
      </c>
      <c r="F823" t="s">
        <v>42</v>
      </c>
      <c r="G823" t="s">
        <v>27</v>
      </c>
      <c r="H823">
        <v>1</v>
      </c>
      <c r="I823" s="3">
        <v>399</v>
      </c>
      <c r="J823" s="4">
        <v>25</v>
      </c>
      <c r="K823" s="3">
        <v>299</v>
      </c>
      <c r="L823" s="3">
        <v>299</v>
      </c>
      <c r="M823" t="s">
        <v>28</v>
      </c>
      <c r="N823" t="s">
        <v>29</v>
      </c>
      <c r="O823" s="3">
        <v>45</v>
      </c>
      <c r="P823" t="s">
        <v>30</v>
      </c>
      <c r="Q823" s="3">
        <v>23.58</v>
      </c>
      <c r="R823" s="3">
        <v>133.84</v>
      </c>
      <c r="S823" s="3">
        <v>96.58</v>
      </c>
      <c r="T823" s="3">
        <v>299</v>
      </c>
      <c r="U823" s="3">
        <v>19</v>
      </c>
      <c r="V823" t="s">
        <v>65</v>
      </c>
    </row>
    <row r="824" spans="1:22" x14ac:dyDescent="0.3">
      <c r="A824" t="s">
        <v>908</v>
      </c>
      <c r="B824" s="1">
        <v>46117</v>
      </c>
      <c r="C824" t="s">
        <v>23</v>
      </c>
      <c r="D824" t="s">
        <v>24</v>
      </c>
      <c r="E824" t="s">
        <v>25</v>
      </c>
      <c r="F824" t="s">
        <v>68</v>
      </c>
      <c r="G824" t="s">
        <v>27</v>
      </c>
      <c r="H824">
        <v>1</v>
      </c>
      <c r="I824" s="3">
        <v>349</v>
      </c>
      <c r="J824" s="4">
        <v>15</v>
      </c>
      <c r="K824" s="3">
        <v>297</v>
      </c>
      <c r="L824" s="3">
        <v>297</v>
      </c>
      <c r="M824" t="s">
        <v>102</v>
      </c>
      <c r="N824" t="s">
        <v>29</v>
      </c>
      <c r="O824" s="3">
        <v>35</v>
      </c>
      <c r="P824" t="s">
        <v>30</v>
      </c>
      <c r="Q824" s="3">
        <v>22.93</v>
      </c>
      <c r="R824" s="3">
        <v>149.6</v>
      </c>
      <c r="S824" s="3">
        <v>89.47</v>
      </c>
      <c r="T824" s="3">
        <v>297</v>
      </c>
      <c r="U824" s="3">
        <v>14</v>
      </c>
      <c r="V824" t="s">
        <v>31</v>
      </c>
    </row>
    <row r="825" spans="1:22" x14ac:dyDescent="0.3">
      <c r="A825" t="s">
        <v>909</v>
      </c>
      <c r="B825" s="1">
        <v>46137</v>
      </c>
      <c r="C825" t="s">
        <v>23</v>
      </c>
      <c r="D825" t="s">
        <v>115</v>
      </c>
      <c r="E825" t="s">
        <v>116</v>
      </c>
      <c r="F825" t="s">
        <v>79</v>
      </c>
      <c r="G825" t="s">
        <v>80</v>
      </c>
      <c r="H825">
        <v>1</v>
      </c>
      <c r="I825" s="3">
        <v>249</v>
      </c>
      <c r="J825" s="4">
        <v>25</v>
      </c>
      <c r="K825" s="3">
        <v>187</v>
      </c>
      <c r="L825" s="3">
        <v>187</v>
      </c>
      <c r="M825" t="s">
        <v>64</v>
      </c>
      <c r="N825" t="s">
        <v>29</v>
      </c>
      <c r="O825" s="3">
        <v>65</v>
      </c>
      <c r="P825" t="s">
        <v>30</v>
      </c>
      <c r="Q825" s="3">
        <v>11.59</v>
      </c>
      <c r="R825" s="3">
        <v>92.53</v>
      </c>
      <c r="S825" s="3">
        <v>17.88</v>
      </c>
      <c r="T825" s="3">
        <v>187</v>
      </c>
      <c r="U825" s="3">
        <v>17</v>
      </c>
      <c r="V825" t="s">
        <v>31</v>
      </c>
    </row>
    <row r="826" spans="1:22" x14ac:dyDescent="0.3">
      <c r="A826" t="s">
        <v>910</v>
      </c>
      <c r="B826" s="1">
        <v>46265</v>
      </c>
      <c r="C826" t="s">
        <v>67</v>
      </c>
      <c r="D826" t="s">
        <v>59</v>
      </c>
      <c r="E826" t="s">
        <v>60</v>
      </c>
      <c r="F826" t="s">
        <v>84</v>
      </c>
      <c r="G826" t="s">
        <v>84</v>
      </c>
      <c r="H826">
        <v>1</v>
      </c>
      <c r="I826" s="3">
        <v>299</v>
      </c>
      <c r="J826" s="4">
        <v>25</v>
      </c>
      <c r="K826" s="3">
        <v>224</v>
      </c>
      <c r="L826" s="3">
        <v>224</v>
      </c>
      <c r="M826" t="s">
        <v>69</v>
      </c>
      <c r="N826" t="s">
        <v>29</v>
      </c>
      <c r="O826" s="3">
        <v>45</v>
      </c>
      <c r="P826" t="s">
        <v>70</v>
      </c>
      <c r="Q826" s="3">
        <v>12.14</v>
      </c>
      <c r="R826" s="3">
        <v>107.8</v>
      </c>
      <c r="S826" s="3">
        <v>59.06</v>
      </c>
      <c r="T826" s="3">
        <v>224</v>
      </c>
      <c r="U826" s="3">
        <v>36</v>
      </c>
      <c r="V826" t="s">
        <v>71</v>
      </c>
    </row>
    <row r="827" spans="1:22" x14ac:dyDescent="0.3">
      <c r="A827" t="s">
        <v>911</v>
      </c>
      <c r="B827" s="1">
        <v>46091</v>
      </c>
      <c r="C827" t="s">
        <v>39</v>
      </c>
      <c r="D827" t="s">
        <v>40</v>
      </c>
      <c r="E827" t="s">
        <v>41</v>
      </c>
      <c r="F827" t="s">
        <v>48</v>
      </c>
      <c r="G827" t="s">
        <v>49</v>
      </c>
      <c r="H827">
        <v>1</v>
      </c>
      <c r="I827" s="3">
        <v>449</v>
      </c>
      <c r="J827" s="4">
        <v>15</v>
      </c>
      <c r="K827" s="3">
        <v>382</v>
      </c>
      <c r="L827" s="3">
        <v>382</v>
      </c>
      <c r="M827" t="s">
        <v>28</v>
      </c>
      <c r="N827" t="s">
        <v>37</v>
      </c>
      <c r="O827" s="3">
        <v>55</v>
      </c>
      <c r="P827" t="s">
        <v>30</v>
      </c>
      <c r="Q827" s="3">
        <v>28.05</v>
      </c>
      <c r="R827" s="3">
        <v>166.12</v>
      </c>
      <c r="S827" s="3">
        <v>132.83000000000001</v>
      </c>
      <c r="T827" s="3">
        <v>382</v>
      </c>
      <c r="U827" s="3">
        <v>11</v>
      </c>
      <c r="V827" t="s">
        <v>43</v>
      </c>
    </row>
    <row r="828" spans="1:22" x14ac:dyDescent="0.3">
      <c r="A828" t="s">
        <v>912</v>
      </c>
      <c r="B828" s="1">
        <v>46170</v>
      </c>
      <c r="C828" t="s">
        <v>62</v>
      </c>
      <c r="D828" t="s">
        <v>63</v>
      </c>
      <c r="E828" t="s">
        <v>47</v>
      </c>
      <c r="F828" t="s">
        <v>55</v>
      </c>
      <c r="G828" t="s">
        <v>56</v>
      </c>
      <c r="H828">
        <v>1</v>
      </c>
      <c r="I828" s="3">
        <v>399</v>
      </c>
      <c r="J828" s="4">
        <v>30</v>
      </c>
      <c r="K828" s="3">
        <v>279</v>
      </c>
      <c r="L828" s="3">
        <v>279</v>
      </c>
      <c r="M828" t="s">
        <v>64</v>
      </c>
      <c r="N828" t="s">
        <v>29</v>
      </c>
      <c r="O828" s="3">
        <v>35</v>
      </c>
      <c r="P828" t="s">
        <v>30</v>
      </c>
      <c r="Q828" s="3">
        <v>13.3</v>
      </c>
      <c r="R828" s="3">
        <v>118.89</v>
      </c>
      <c r="S828" s="3">
        <v>111.81</v>
      </c>
      <c r="T828" s="3">
        <v>279</v>
      </c>
      <c r="U828" s="3">
        <v>22</v>
      </c>
      <c r="V828" t="s">
        <v>65</v>
      </c>
    </row>
    <row r="829" spans="1:22" x14ac:dyDescent="0.3">
      <c r="A829" t="s">
        <v>913</v>
      </c>
      <c r="B829" s="1">
        <v>46033</v>
      </c>
      <c r="C829" t="s">
        <v>52</v>
      </c>
      <c r="D829" t="s">
        <v>24</v>
      </c>
      <c r="E829" t="s">
        <v>25</v>
      </c>
      <c r="F829" t="s">
        <v>48</v>
      </c>
      <c r="G829" t="s">
        <v>49</v>
      </c>
      <c r="H829">
        <v>1</v>
      </c>
      <c r="I829" s="3">
        <v>349</v>
      </c>
      <c r="J829" s="4">
        <v>5</v>
      </c>
      <c r="K829" s="3">
        <v>332</v>
      </c>
      <c r="L829" s="3">
        <v>332</v>
      </c>
      <c r="M829" t="s">
        <v>76</v>
      </c>
      <c r="N829" t="s">
        <v>37</v>
      </c>
      <c r="O829" s="3">
        <v>45</v>
      </c>
      <c r="P829" t="s">
        <v>30</v>
      </c>
      <c r="Q829" s="3">
        <v>25.79</v>
      </c>
      <c r="R829" s="3">
        <v>159.47999999999999</v>
      </c>
      <c r="S829" s="3">
        <v>101.73</v>
      </c>
      <c r="T829" s="3">
        <v>332</v>
      </c>
      <c r="U829" s="3">
        <v>2</v>
      </c>
      <c r="V829" t="s">
        <v>57</v>
      </c>
    </row>
    <row r="830" spans="1:22" x14ac:dyDescent="0.3">
      <c r="A830" t="s">
        <v>914</v>
      </c>
      <c r="B830" s="1">
        <v>46276</v>
      </c>
      <c r="C830" t="s">
        <v>86</v>
      </c>
      <c r="D830" t="s">
        <v>46</v>
      </c>
      <c r="E830" t="s">
        <v>47</v>
      </c>
      <c r="F830" t="s">
        <v>68</v>
      </c>
      <c r="G830" t="s">
        <v>27</v>
      </c>
      <c r="H830">
        <v>1</v>
      </c>
      <c r="I830" s="3">
        <v>899</v>
      </c>
      <c r="J830" s="4">
        <v>35</v>
      </c>
      <c r="K830" s="3">
        <v>584</v>
      </c>
      <c r="L830" s="3">
        <v>584</v>
      </c>
      <c r="M830" t="s">
        <v>28</v>
      </c>
      <c r="N830" t="s">
        <v>37</v>
      </c>
      <c r="O830" s="3">
        <v>35</v>
      </c>
      <c r="P830" t="s">
        <v>30</v>
      </c>
      <c r="Q830" s="3">
        <v>33.86</v>
      </c>
      <c r="R830" s="3">
        <v>256.3</v>
      </c>
      <c r="S830" s="3">
        <v>258.83999999999997</v>
      </c>
      <c r="T830" s="3">
        <v>584</v>
      </c>
      <c r="U830" s="3">
        <v>37</v>
      </c>
      <c r="V830" t="s">
        <v>87</v>
      </c>
    </row>
    <row r="831" spans="1:22" x14ac:dyDescent="0.3">
      <c r="A831" t="s">
        <v>915</v>
      </c>
      <c r="B831" s="1">
        <v>46060</v>
      </c>
      <c r="C831" t="s">
        <v>95</v>
      </c>
      <c r="D831" t="s">
        <v>112</v>
      </c>
      <c r="E831" t="s">
        <v>47</v>
      </c>
      <c r="F831" t="s">
        <v>68</v>
      </c>
      <c r="G831" t="s">
        <v>27</v>
      </c>
      <c r="H831">
        <v>2</v>
      </c>
      <c r="I831" s="3">
        <v>299</v>
      </c>
      <c r="J831" s="4">
        <v>5</v>
      </c>
      <c r="K831" s="3">
        <v>284</v>
      </c>
      <c r="L831" s="3">
        <v>568</v>
      </c>
      <c r="M831" t="s">
        <v>28</v>
      </c>
      <c r="N831" t="s">
        <v>29</v>
      </c>
      <c r="O831" s="3">
        <v>55</v>
      </c>
      <c r="P831" t="s">
        <v>30</v>
      </c>
      <c r="Q831" s="3">
        <v>39.090000000000003</v>
      </c>
      <c r="R831" s="3">
        <v>266.98</v>
      </c>
      <c r="S831" s="3">
        <v>206.93</v>
      </c>
      <c r="T831" s="3">
        <v>284</v>
      </c>
      <c r="U831" s="3">
        <v>6</v>
      </c>
      <c r="V831" t="s">
        <v>96</v>
      </c>
    </row>
    <row r="832" spans="1:22" x14ac:dyDescent="0.3">
      <c r="A832" t="s">
        <v>916</v>
      </c>
      <c r="B832" s="1">
        <v>46156</v>
      </c>
      <c r="C832" t="s">
        <v>62</v>
      </c>
      <c r="D832" t="s">
        <v>40</v>
      </c>
      <c r="E832" t="s">
        <v>41</v>
      </c>
      <c r="F832" t="s">
        <v>79</v>
      </c>
      <c r="G832" t="s">
        <v>80</v>
      </c>
      <c r="H832">
        <v>1</v>
      </c>
      <c r="I832" s="3">
        <v>449</v>
      </c>
      <c r="J832" s="4">
        <v>30</v>
      </c>
      <c r="K832" s="3">
        <v>314</v>
      </c>
      <c r="L832" s="3">
        <v>314</v>
      </c>
      <c r="M832" t="s">
        <v>28</v>
      </c>
      <c r="N832" t="s">
        <v>29</v>
      </c>
      <c r="O832" s="3">
        <v>55</v>
      </c>
      <c r="P832" t="s">
        <v>30</v>
      </c>
      <c r="Q832" s="3">
        <v>24.51</v>
      </c>
      <c r="R832" s="3">
        <v>151.41999999999999</v>
      </c>
      <c r="S832" s="3">
        <v>83.07</v>
      </c>
      <c r="T832" s="3">
        <v>314</v>
      </c>
      <c r="U832" s="3">
        <v>20</v>
      </c>
      <c r="V832" t="s">
        <v>65</v>
      </c>
    </row>
    <row r="833" spans="1:22" x14ac:dyDescent="0.3">
      <c r="A833" t="s">
        <v>917</v>
      </c>
      <c r="B833" s="1">
        <v>46222</v>
      </c>
      <c r="C833" t="s">
        <v>45</v>
      </c>
      <c r="D833" t="s">
        <v>130</v>
      </c>
      <c r="E833" t="s">
        <v>54</v>
      </c>
      <c r="F833" t="s">
        <v>35</v>
      </c>
      <c r="G833" t="s">
        <v>36</v>
      </c>
      <c r="H833">
        <v>1</v>
      </c>
      <c r="I833" s="3">
        <v>699</v>
      </c>
      <c r="J833" s="4">
        <v>20</v>
      </c>
      <c r="K833" s="3">
        <v>559</v>
      </c>
      <c r="L833" s="3">
        <v>559</v>
      </c>
      <c r="M833" t="s">
        <v>76</v>
      </c>
      <c r="N833" t="s">
        <v>29</v>
      </c>
      <c r="O833" s="3">
        <v>35</v>
      </c>
      <c r="P833" t="s">
        <v>30</v>
      </c>
      <c r="Q833" s="3">
        <v>25.05</v>
      </c>
      <c r="R833" s="3">
        <v>264.66000000000003</v>
      </c>
      <c r="S833" s="3">
        <v>234.29</v>
      </c>
      <c r="T833" s="3">
        <v>559</v>
      </c>
      <c r="U833" s="3">
        <v>29</v>
      </c>
      <c r="V833" t="s">
        <v>50</v>
      </c>
    </row>
    <row r="834" spans="1:22" x14ac:dyDescent="0.3">
      <c r="A834" t="s">
        <v>918</v>
      </c>
      <c r="B834" s="1">
        <v>46045</v>
      </c>
      <c r="C834" t="s">
        <v>52</v>
      </c>
      <c r="D834" t="s">
        <v>40</v>
      </c>
      <c r="E834" t="s">
        <v>41</v>
      </c>
      <c r="F834" t="s">
        <v>26</v>
      </c>
      <c r="G834" t="s">
        <v>27</v>
      </c>
      <c r="H834">
        <v>2</v>
      </c>
      <c r="I834" s="3">
        <v>449</v>
      </c>
      <c r="J834" s="4">
        <v>25</v>
      </c>
      <c r="K834" s="3">
        <v>337</v>
      </c>
      <c r="L834" s="3">
        <v>674</v>
      </c>
      <c r="M834" t="s">
        <v>28</v>
      </c>
      <c r="N834" t="s">
        <v>29</v>
      </c>
      <c r="O834" s="3">
        <v>35</v>
      </c>
      <c r="P834" t="s">
        <v>30</v>
      </c>
      <c r="Q834" s="3">
        <v>49.61</v>
      </c>
      <c r="R834" s="3">
        <v>331.94</v>
      </c>
      <c r="S834" s="3">
        <v>257.45</v>
      </c>
      <c r="T834" s="3">
        <v>337</v>
      </c>
      <c r="U834" s="3">
        <v>4</v>
      </c>
      <c r="V834" t="s">
        <v>57</v>
      </c>
    </row>
    <row r="835" spans="1:22" x14ac:dyDescent="0.3">
      <c r="A835" t="s">
        <v>919</v>
      </c>
      <c r="B835" s="1">
        <v>46240</v>
      </c>
      <c r="C835" t="s">
        <v>67</v>
      </c>
      <c r="D835" t="s">
        <v>46</v>
      </c>
      <c r="E835" t="s">
        <v>47</v>
      </c>
      <c r="F835" t="s">
        <v>42</v>
      </c>
      <c r="G835" t="s">
        <v>27</v>
      </c>
      <c r="H835">
        <v>3</v>
      </c>
      <c r="I835" s="3">
        <v>899</v>
      </c>
      <c r="J835" s="4">
        <v>15</v>
      </c>
      <c r="K835" s="3">
        <v>764</v>
      </c>
      <c r="L835" s="3">
        <v>2292</v>
      </c>
      <c r="M835" t="s">
        <v>28</v>
      </c>
      <c r="N835" t="s">
        <v>37</v>
      </c>
      <c r="O835" s="3">
        <v>35</v>
      </c>
      <c r="P835" t="s">
        <v>30</v>
      </c>
      <c r="Q835" s="3">
        <v>159.05000000000001</v>
      </c>
      <c r="R835" s="3">
        <v>1032.45</v>
      </c>
      <c r="S835" s="3">
        <v>1065.5</v>
      </c>
      <c r="T835" s="3">
        <v>764</v>
      </c>
      <c r="U835" s="3">
        <v>32</v>
      </c>
      <c r="V835" t="s">
        <v>71</v>
      </c>
    </row>
    <row r="836" spans="1:22" x14ac:dyDescent="0.3">
      <c r="A836" t="s">
        <v>920</v>
      </c>
      <c r="B836" s="1">
        <v>46163</v>
      </c>
      <c r="C836" t="s">
        <v>62</v>
      </c>
      <c r="D836" t="s">
        <v>46</v>
      </c>
      <c r="E836" t="s">
        <v>47</v>
      </c>
      <c r="F836" t="s">
        <v>100</v>
      </c>
      <c r="G836" t="s">
        <v>101</v>
      </c>
      <c r="H836">
        <v>1</v>
      </c>
      <c r="I836" s="3">
        <v>899</v>
      </c>
      <c r="J836" s="4">
        <v>35</v>
      </c>
      <c r="K836" s="3">
        <v>584</v>
      </c>
      <c r="L836" s="3">
        <v>584</v>
      </c>
      <c r="M836" t="s">
        <v>64</v>
      </c>
      <c r="N836" t="s">
        <v>37</v>
      </c>
      <c r="O836" s="3">
        <v>55</v>
      </c>
      <c r="P836" t="s">
        <v>30</v>
      </c>
      <c r="Q836" s="3">
        <v>27.75</v>
      </c>
      <c r="R836" s="3">
        <v>281.77</v>
      </c>
      <c r="S836" s="3">
        <v>219.48</v>
      </c>
      <c r="T836" s="3">
        <v>584</v>
      </c>
      <c r="U836" s="3">
        <v>21</v>
      </c>
      <c r="V836" t="s">
        <v>65</v>
      </c>
    </row>
    <row r="837" spans="1:22" x14ac:dyDescent="0.3">
      <c r="A837" t="s">
        <v>921</v>
      </c>
      <c r="B837" s="1">
        <v>46126</v>
      </c>
      <c r="C837" t="s">
        <v>23</v>
      </c>
      <c r="D837" t="s">
        <v>115</v>
      </c>
      <c r="E837" t="s">
        <v>116</v>
      </c>
      <c r="F837" t="s">
        <v>100</v>
      </c>
      <c r="G837" t="s">
        <v>101</v>
      </c>
      <c r="H837">
        <v>1</v>
      </c>
      <c r="I837" s="3">
        <v>249</v>
      </c>
      <c r="J837" s="4">
        <v>35</v>
      </c>
      <c r="K837" s="3">
        <v>162</v>
      </c>
      <c r="L837" s="3">
        <v>162</v>
      </c>
      <c r="M837" t="s">
        <v>28</v>
      </c>
      <c r="N837" t="s">
        <v>37</v>
      </c>
      <c r="O837" s="3">
        <v>55</v>
      </c>
      <c r="P837" t="s">
        <v>30</v>
      </c>
      <c r="Q837" s="3">
        <v>6.73</v>
      </c>
      <c r="R837" s="3">
        <v>78.38</v>
      </c>
      <c r="S837" s="3">
        <v>21.89</v>
      </c>
      <c r="T837" s="3">
        <v>162</v>
      </c>
      <c r="U837" s="3">
        <v>16</v>
      </c>
      <c r="V837" t="s">
        <v>31</v>
      </c>
    </row>
    <row r="838" spans="1:22" x14ac:dyDescent="0.3">
      <c r="A838" t="s">
        <v>922</v>
      </c>
      <c r="B838" s="1">
        <v>46232</v>
      </c>
      <c r="C838" t="s">
        <v>45</v>
      </c>
      <c r="D838" t="s">
        <v>63</v>
      </c>
      <c r="E838" t="s">
        <v>47</v>
      </c>
      <c r="F838" t="s">
        <v>48</v>
      </c>
      <c r="G838" t="s">
        <v>49</v>
      </c>
      <c r="H838">
        <v>1</v>
      </c>
      <c r="I838" s="3">
        <v>399</v>
      </c>
      <c r="J838" s="4">
        <v>25</v>
      </c>
      <c r="K838" s="3">
        <v>299</v>
      </c>
      <c r="L838" s="3">
        <v>299</v>
      </c>
      <c r="M838" t="s">
        <v>28</v>
      </c>
      <c r="N838" t="s">
        <v>29</v>
      </c>
      <c r="O838" s="3">
        <v>55</v>
      </c>
      <c r="P838" t="s">
        <v>30</v>
      </c>
      <c r="Q838" s="3">
        <v>20.22</v>
      </c>
      <c r="R838" s="3">
        <v>140.93</v>
      </c>
      <c r="S838" s="3">
        <v>82.85</v>
      </c>
      <c r="T838" s="3">
        <v>299</v>
      </c>
      <c r="U838" s="3">
        <v>31</v>
      </c>
      <c r="V838" t="s">
        <v>50</v>
      </c>
    </row>
    <row r="839" spans="1:22" x14ac:dyDescent="0.3">
      <c r="A839" t="s">
        <v>923</v>
      </c>
      <c r="B839" s="1">
        <v>46133</v>
      </c>
      <c r="C839" t="s">
        <v>23</v>
      </c>
      <c r="D839" t="s">
        <v>59</v>
      </c>
      <c r="E839" t="s">
        <v>60</v>
      </c>
      <c r="F839" t="s">
        <v>48</v>
      </c>
      <c r="G839" t="s">
        <v>49</v>
      </c>
      <c r="H839">
        <v>1</v>
      </c>
      <c r="I839" s="3">
        <v>299</v>
      </c>
      <c r="J839" s="4">
        <v>35</v>
      </c>
      <c r="K839" s="3">
        <v>194</v>
      </c>
      <c r="L839" s="3">
        <v>194</v>
      </c>
      <c r="M839" t="s">
        <v>76</v>
      </c>
      <c r="N839" t="s">
        <v>29</v>
      </c>
      <c r="O839" s="3">
        <v>65</v>
      </c>
      <c r="P839" t="s">
        <v>30</v>
      </c>
      <c r="Q839" s="3">
        <v>8.08</v>
      </c>
      <c r="R839" s="3">
        <v>91.71</v>
      </c>
      <c r="S839" s="3">
        <v>29.21</v>
      </c>
      <c r="T839" s="3">
        <v>194</v>
      </c>
      <c r="U839" s="3">
        <v>17</v>
      </c>
      <c r="V839" t="s">
        <v>31</v>
      </c>
    </row>
    <row r="840" spans="1:22" x14ac:dyDescent="0.3">
      <c r="A840" t="s">
        <v>924</v>
      </c>
      <c r="B840" s="1">
        <v>46126</v>
      </c>
      <c r="C840" t="s">
        <v>23</v>
      </c>
      <c r="D840" t="s">
        <v>63</v>
      </c>
      <c r="E840" t="s">
        <v>47</v>
      </c>
      <c r="F840" t="s">
        <v>84</v>
      </c>
      <c r="G840" t="s">
        <v>84</v>
      </c>
      <c r="H840">
        <v>1</v>
      </c>
      <c r="I840" s="3">
        <v>399</v>
      </c>
      <c r="J840" s="4">
        <v>15</v>
      </c>
      <c r="K840" s="3">
        <v>339</v>
      </c>
      <c r="L840" s="3">
        <v>339</v>
      </c>
      <c r="M840" t="s">
        <v>28</v>
      </c>
      <c r="N840" t="s">
        <v>29</v>
      </c>
      <c r="O840" s="3">
        <v>55</v>
      </c>
      <c r="P840" t="s">
        <v>30</v>
      </c>
      <c r="Q840" s="3">
        <v>21.11</v>
      </c>
      <c r="R840" s="3">
        <v>172.69</v>
      </c>
      <c r="S840" s="3">
        <v>90.2</v>
      </c>
      <c r="T840" s="3">
        <v>339</v>
      </c>
      <c r="U840" s="3">
        <v>16</v>
      </c>
      <c r="V840" t="s">
        <v>31</v>
      </c>
    </row>
    <row r="841" spans="1:22" x14ac:dyDescent="0.3">
      <c r="A841" t="s">
        <v>925</v>
      </c>
      <c r="B841" s="1">
        <v>46193</v>
      </c>
      <c r="C841" t="s">
        <v>78</v>
      </c>
      <c r="D841" t="s">
        <v>53</v>
      </c>
      <c r="E841" t="s">
        <v>54</v>
      </c>
      <c r="F841" t="s">
        <v>26</v>
      </c>
      <c r="G841" t="s">
        <v>27</v>
      </c>
      <c r="H841">
        <v>1</v>
      </c>
      <c r="I841" s="3">
        <v>499</v>
      </c>
      <c r="J841" s="4">
        <v>15</v>
      </c>
      <c r="K841" s="3">
        <v>424</v>
      </c>
      <c r="L841" s="3">
        <v>424</v>
      </c>
      <c r="M841" t="s">
        <v>76</v>
      </c>
      <c r="N841" t="s">
        <v>37</v>
      </c>
      <c r="O841" s="3">
        <v>35</v>
      </c>
      <c r="P841" t="s">
        <v>30</v>
      </c>
      <c r="Q841" s="3">
        <v>25.69</v>
      </c>
      <c r="R841" s="3">
        <v>186.57</v>
      </c>
      <c r="S841" s="3">
        <v>176.74</v>
      </c>
      <c r="T841" s="3">
        <v>424</v>
      </c>
      <c r="U841" s="3">
        <v>25</v>
      </c>
      <c r="V841" t="s">
        <v>81</v>
      </c>
    </row>
    <row r="842" spans="1:22" x14ac:dyDescent="0.3">
      <c r="A842" t="s">
        <v>926</v>
      </c>
      <c r="B842" s="1">
        <v>46155</v>
      </c>
      <c r="C842" t="s">
        <v>62</v>
      </c>
      <c r="D842" t="s">
        <v>46</v>
      </c>
      <c r="E842" t="s">
        <v>47</v>
      </c>
      <c r="F842" t="s">
        <v>79</v>
      </c>
      <c r="G842" t="s">
        <v>80</v>
      </c>
      <c r="H842">
        <v>1</v>
      </c>
      <c r="I842" s="3">
        <v>899</v>
      </c>
      <c r="J842" s="4">
        <v>35</v>
      </c>
      <c r="K842" s="3">
        <v>584</v>
      </c>
      <c r="L842" s="3">
        <v>584</v>
      </c>
      <c r="M842" t="s">
        <v>28</v>
      </c>
      <c r="N842" t="s">
        <v>29</v>
      </c>
      <c r="O842" s="3">
        <v>65</v>
      </c>
      <c r="P842" t="s">
        <v>30</v>
      </c>
      <c r="Q842" s="3">
        <v>40.94</v>
      </c>
      <c r="R842" s="3">
        <v>289.27</v>
      </c>
      <c r="S842" s="3">
        <v>188.79</v>
      </c>
      <c r="T842" s="3">
        <v>584</v>
      </c>
      <c r="U842" s="3">
        <v>20</v>
      </c>
      <c r="V842" t="s">
        <v>65</v>
      </c>
    </row>
    <row r="843" spans="1:22" x14ac:dyDescent="0.3">
      <c r="A843" t="s">
        <v>927</v>
      </c>
      <c r="B843" s="1">
        <v>46149</v>
      </c>
      <c r="C843" t="s">
        <v>62</v>
      </c>
      <c r="D843" t="s">
        <v>53</v>
      </c>
      <c r="E843" t="s">
        <v>54</v>
      </c>
      <c r="F843" t="s">
        <v>55</v>
      </c>
      <c r="G843" t="s">
        <v>56</v>
      </c>
      <c r="H843">
        <v>1</v>
      </c>
      <c r="I843" s="3">
        <v>499</v>
      </c>
      <c r="J843" s="4">
        <v>30</v>
      </c>
      <c r="K843" s="3">
        <v>349</v>
      </c>
      <c r="L843" s="3">
        <v>349</v>
      </c>
      <c r="M843" t="s">
        <v>28</v>
      </c>
      <c r="N843" t="s">
        <v>29</v>
      </c>
      <c r="O843" s="3">
        <v>45</v>
      </c>
      <c r="P843" t="s">
        <v>30</v>
      </c>
      <c r="Q843" s="3">
        <v>18.95</v>
      </c>
      <c r="R843" s="3">
        <v>156.26</v>
      </c>
      <c r="S843" s="3">
        <v>128.79</v>
      </c>
      <c r="T843" s="3">
        <v>349</v>
      </c>
      <c r="U843" s="3">
        <v>19</v>
      </c>
      <c r="V843" t="s">
        <v>65</v>
      </c>
    </row>
    <row r="844" spans="1:22" x14ac:dyDescent="0.3">
      <c r="A844" t="s">
        <v>928</v>
      </c>
      <c r="B844" s="1">
        <v>46128</v>
      </c>
      <c r="C844" t="s">
        <v>23</v>
      </c>
      <c r="D844" t="s">
        <v>46</v>
      </c>
      <c r="E844" t="s">
        <v>47</v>
      </c>
      <c r="F844" t="s">
        <v>68</v>
      </c>
      <c r="G844" t="s">
        <v>27</v>
      </c>
      <c r="H844">
        <v>2</v>
      </c>
      <c r="I844" s="3">
        <v>899</v>
      </c>
      <c r="J844" s="4">
        <v>15</v>
      </c>
      <c r="K844" s="3">
        <v>764</v>
      </c>
      <c r="L844" s="3">
        <v>1528</v>
      </c>
      <c r="M844" t="s">
        <v>76</v>
      </c>
      <c r="N844" t="s">
        <v>29</v>
      </c>
      <c r="O844" s="3">
        <v>35</v>
      </c>
      <c r="P844" t="s">
        <v>30</v>
      </c>
      <c r="Q844" s="3">
        <v>80.819999999999993</v>
      </c>
      <c r="R844" s="3">
        <v>790.63</v>
      </c>
      <c r="S844" s="3">
        <v>621.54999999999995</v>
      </c>
      <c r="T844" s="3">
        <v>764</v>
      </c>
      <c r="U844" s="3">
        <v>16</v>
      </c>
      <c r="V844" t="s">
        <v>31</v>
      </c>
    </row>
    <row r="845" spans="1:22" x14ac:dyDescent="0.3">
      <c r="A845" t="s">
        <v>929</v>
      </c>
      <c r="B845" s="1">
        <v>46114</v>
      </c>
      <c r="C845" t="s">
        <v>23</v>
      </c>
      <c r="D845" t="s">
        <v>130</v>
      </c>
      <c r="E845" t="s">
        <v>54</v>
      </c>
      <c r="F845" t="s">
        <v>68</v>
      </c>
      <c r="G845" t="s">
        <v>27</v>
      </c>
      <c r="H845">
        <v>2</v>
      </c>
      <c r="I845" s="3">
        <v>699</v>
      </c>
      <c r="J845" s="4">
        <v>20</v>
      </c>
      <c r="K845" s="3">
        <v>559</v>
      </c>
      <c r="L845" s="3">
        <v>1118</v>
      </c>
      <c r="M845" t="s">
        <v>28</v>
      </c>
      <c r="N845" t="s">
        <v>37</v>
      </c>
      <c r="O845" s="3">
        <v>35</v>
      </c>
      <c r="P845" t="s">
        <v>30</v>
      </c>
      <c r="Q845" s="3">
        <v>47.11</v>
      </c>
      <c r="R845" s="3">
        <v>574.38</v>
      </c>
      <c r="S845" s="3">
        <v>461.51</v>
      </c>
      <c r="T845" s="3">
        <v>559</v>
      </c>
      <c r="U845" s="3">
        <v>14</v>
      </c>
      <c r="V845" t="s">
        <v>31</v>
      </c>
    </row>
    <row r="846" spans="1:22" x14ac:dyDescent="0.3">
      <c r="A846" t="s">
        <v>930</v>
      </c>
      <c r="B846" s="1">
        <v>46073</v>
      </c>
      <c r="C846" t="s">
        <v>95</v>
      </c>
      <c r="D846" t="s">
        <v>74</v>
      </c>
      <c r="E846" t="s">
        <v>75</v>
      </c>
      <c r="F846" t="s">
        <v>79</v>
      </c>
      <c r="G846" t="s">
        <v>80</v>
      </c>
      <c r="H846">
        <v>1</v>
      </c>
      <c r="I846" s="3">
        <v>549</v>
      </c>
      <c r="J846" s="4">
        <v>20</v>
      </c>
      <c r="K846" s="3">
        <v>439</v>
      </c>
      <c r="L846" s="3">
        <v>439</v>
      </c>
      <c r="M846" t="s">
        <v>28</v>
      </c>
      <c r="N846" t="s">
        <v>29</v>
      </c>
      <c r="O846" s="3">
        <v>55</v>
      </c>
      <c r="P846" t="s">
        <v>30</v>
      </c>
      <c r="Q846" s="3">
        <v>23.03</v>
      </c>
      <c r="R846" s="3">
        <v>197.82</v>
      </c>
      <c r="S846" s="3">
        <v>163.15</v>
      </c>
      <c r="T846" s="3">
        <v>439</v>
      </c>
      <c r="U846" s="3">
        <v>8</v>
      </c>
      <c r="V846" t="s">
        <v>96</v>
      </c>
    </row>
    <row r="847" spans="1:22" x14ac:dyDescent="0.3">
      <c r="A847" t="s">
        <v>931</v>
      </c>
      <c r="B847" s="1">
        <v>46051</v>
      </c>
      <c r="C847" t="s">
        <v>52</v>
      </c>
      <c r="D847" t="s">
        <v>24</v>
      </c>
      <c r="E847" t="s">
        <v>25</v>
      </c>
      <c r="F847" t="s">
        <v>48</v>
      </c>
      <c r="G847" t="s">
        <v>49</v>
      </c>
      <c r="H847">
        <v>1</v>
      </c>
      <c r="I847" s="3">
        <v>349</v>
      </c>
      <c r="J847" s="4">
        <v>35</v>
      </c>
      <c r="K847" s="3">
        <v>227</v>
      </c>
      <c r="L847" s="3">
        <v>227</v>
      </c>
      <c r="M847" t="s">
        <v>28</v>
      </c>
      <c r="N847" t="s">
        <v>29</v>
      </c>
      <c r="O847" s="3">
        <v>35</v>
      </c>
      <c r="P847" t="s">
        <v>30</v>
      </c>
      <c r="Q847" s="3">
        <v>15.24</v>
      </c>
      <c r="R847" s="3">
        <v>104.75</v>
      </c>
      <c r="S847" s="3">
        <v>72.010000000000005</v>
      </c>
      <c r="T847" s="3">
        <v>227</v>
      </c>
      <c r="U847" s="3">
        <v>5</v>
      </c>
      <c r="V847" t="s">
        <v>57</v>
      </c>
    </row>
    <row r="848" spans="1:22" x14ac:dyDescent="0.3">
      <c r="A848" t="s">
        <v>932</v>
      </c>
      <c r="B848" s="1">
        <v>46236</v>
      </c>
      <c r="C848" t="s">
        <v>67</v>
      </c>
      <c r="D848" t="s">
        <v>130</v>
      </c>
      <c r="E848" t="s">
        <v>54</v>
      </c>
      <c r="F848" t="s">
        <v>42</v>
      </c>
      <c r="G848" t="s">
        <v>27</v>
      </c>
      <c r="H848">
        <v>1</v>
      </c>
      <c r="I848" s="3">
        <v>699</v>
      </c>
      <c r="J848" s="4">
        <v>40</v>
      </c>
      <c r="K848" s="3">
        <v>419</v>
      </c>
      <c r="L848" s="3">
        <v>419</v>
      </c>
      <c r="M848" t="s">
        <v>76</v>
      </c>
      <c r="N848" t="s">
        <v>29</v>
      </c>
      <c r="O848" s="3">
        <v>55</v>
      </c>
      <c r="P848" t="s">
        <v>30</v>
      </c>
      <c r="Q848" s="3">
        <v>26.15</v>
      </c>
      <c r="R848" s="3">
        <v>205.09</v>
      </c>
      <c r="S848" s="3">
        <v>132.76</v>
      </c>
      <c r="T848" s="3">
        <v>419</v>
      </c>
      <c r="U848" s="3">
        <v>31</v>
      </c>
      <c r="V848" t="s">
        <v>71</v>
      </c>
    </row>
    <row r="849" spans="1:22" x14ac:dyDescent="0.3">
      <c r="A849" t="s">
        <v>933</v>
      </c>
      <c r="B849" s="1">
        <v>46289</v>
      </c>
      <c r="C849" t="s">
        <v>86</v>
      </c>
      <c r="D849" t="s">
        <v>74</v>
      </c>
      <c r="E849" t="s">
        <v>75</v>
      </c>
      <c r="F849" t="s">
        <v>109</v>
      </c>
      <c r="G849" t="s">
        <v>110</v>
      </c>
      <c r="H849">
        <v>2</v>
      </c>
      <c r="I849" s="3">
        <v>549</v>
      </c>
      <c r="J849" s="4">
        <v>20</v>
      </c>
      <c r="K849" s="3">
        <v>439</v>
      </c>
      <c r="L849" s="3">
        <v>878</v>
      </c>
      <c r="M849" t="s">
        <v>64</v>
      </c>
      <c r="N849" t="s">
        <v>37</v>
      </c>
      <c r="O849" s="3">
        <v>35</v>
      </c>
      <c r="P849" t="s">
        <v>30</v>
      </c>
      <c r="Q849" s="3">
        <v>46.59</v>
      </c>
      <c r="R849" s="3">
        <v>407.14</v>
      </c>
      <c r="S849" s="3">
        <v>389.27</v>
      </c>
      <c r="T849" s="3">
        <v>439</v>
      </c>
      <c r="U849" s="3">
        <v>39</v>
      </c>
      <c r="V849" t="s">
        <v>87</v>
      </c>
    </row>
    <row r="850" spans="1:22" x14ac:dyDescent="0.3">
      <c r="A850" t="s">
        <v>934</v>
      </c>
      <c r="B850" s="1">
        <v>46279</v>
      </c>
      <c r="C850" t="s">
        <v>86</v>
      </c>
      <c r="D850" t="s">
        <v>24</v>
      </c>
      <c r="E850" t="s">
        <v>25</v>
      </c>
      <c r="F850" t="s">
        <v>100</v>
      </c>
      <c r="G850" t="s">
        <v>101</v>
      </c>
      <c r="H850">
        <v>1</v>
      </c>
      <c r="I850" s="3">
        <v>349</v>
      </c>
      <c r="J850" s="4">
        <v>25</v>
      </c>
      <c r="K850" s="3">
        <v>262</v>
      </c>
      <c r="L850" s="3">
        <v>262</v>
      </c>
      <c r="M850" t="s">
        <v>28</v>
      </c>
      <c r="N850" t="s">
        <v>29</v>
      </c>
      <c r="O850" s="3">
        <v>35</v>
      </c>
      <c r="P850" t="s">
        <v>30</v>
      </c>
      <c r="Q850" s="3">
        <v>20.81</v>
      </c>
      <c r="R850" s="3">
        <v>124.56</v>
      </c>
      <c r="S850" s="3">
        <v>81.63</v>
      </c>
      <c r="T850" s="3">
        <v>262</v>
      </c>
      <c r="U850" s="3">
        <v>38</v>
      </c>
      <c r="V850" t="s">
        <v>87</v>
      </c>
    </row>
    <row r="851" spans="1:22" x14ac:dyDescent="0.3">
      <c r="A851" t="s">
        <v>935</v>
      </c>
      <c r="B851" s="1">
        <v>46123</v>
      </c>
      <c r="C851" t="s">
        <v>23</v>
      </c>
      <c r="D851" t="s">
        <v>40</v>
      </c>
      <c r="E851" t="s">
        <v>41</v>
      </c>
      <c r="F851" t="s">
        <v>109</v>
      </c>
      <c r="G851" t="s">
        <v>110</v>
      </c>
      <c r="H851">
        <v>1</v>
      </c>
      <c r="I851" s="3">
        <v>449</v>
      </c>
      <c r="J851" s="4">
        <v>35</v>
      </c>
      <c r="K851" s="3">
        <v>292</v>
      </c>
      <c r="L851" s="3">
        <v>292</v>
      </c>
      <c r="M851" t="s">
        <v>28</v>
      </c>
      <c r="N851" t="s">
        <v>37</v>
      </c>
      <c r="O851" s="3">
        <v>55</v>
      </c>
      <c r="P851" t="s">
        <v>30</v>
      </c>
      <c r="Q851" s="3">
        <v>16.64</v>
      </c>
      <c r="R851" s="3">
        <v>149.9</v>
      </c>
      <c r="S851" s="3">
        <v>70.459999999999994</v>
      </c>
      <c r="T851" s="3">
        <v>292</v>
      </c>
      <c r="U851" s="3">
        <v>15</v>
      </c>
      <c r="V851" t="s">
        <v>31</v>
      </c>
    </row>
    <row r="852" spans="1:22" x14ac:dyDescent="0.3">
      <c r="A852" t="s">
        <v>936</v>
      </c>
      <c r="B852" s="1">
        <v>46132</v>
      </c>
      <c r="C852" t="s">
        <v>23</v>
      </c>
      <c r="D852" t="s">
        <v>40</v>
      </c>
      <c r="E852" t="s">
        <v>41</v>
      </c>
      <c r="F852" t="s">
        <v>109</v>
      </c>
      <c r="G852" t="s">
        <v>110</v>
      </c>
      <c r="H852">
        <v>1</v>
      </c>
      <c r="I852" s="3">
        <v>449</v>
      </c>
      <c r="J852" s="4">
        <v>5</v>
      </c>
      <c r="K852" s="3">
        <v>427</v>
      </c>
      <c r="L852" s="3">
        <v>427</v>
      </c>
      <c r="M852" t="s">
        <v>64</v>
      </c>
      <c r="N852" t="s">
        <v>37</v>
      </c>
      <c r="O852" s="3">
        <v>65</v>
      </c>
      <c r="P852" t="s">
        <v>30</v>
      </c>
      <c r="Q852" s="3">
        <v>32.020000000000003</v>
      </c>
      <c r="R852" s="3">
        <v>203.42</v>
      </c>
      <c r="S852" s="3">
        <v>126.56</v>
      </c>
      <c r="T852" s="3">
        <v>427</v>
      </c>
      <c r="U852" s="3">
        <v>17</v>
      </c>
      <c r="V852" t="s">
        <v>31</v>
      </c>
    </row>
    <row r="853" spans="1:22" x14ac:dyDescent="0.3">
      <c r="A853" t="s">
        <v>937</v>
      </c>
      <c r="B853" s="1">
        <v>46204</v>
      </c>
      <c r="C853" t="s">
        <v>45</v>
      </c>
      <c r="D853" t="s">
        <v>74</v>
      </c>
      <c r="E853" t="s">
        <v>75</v>
      </c>
      <c r="F853" t="s">
        <v>79</v>
      </c>
      <c r="G853" t="s">
        <v>80</v>
      </c>
      <c r="H853">
        <v>1</v>
      </c>
      <c r="I853" s="3">
        <v>549</v>
      </c>
      <c r="J853" s="4">
        <v>25</v>
      </c>
      <c r="K853" s="3">
        <v>412</v>
      </c>
      <c r="L853" s="3">
        <v>412</v>
      </c>
      <c r="M853" t="s">
        <v>28</v>
      </c>
      <c r="N853" t="s">
        <v>37</v>
      </c>
      <c r="O853" s="3">
        <v>45</v>
      </c>
      <c r="P853" t="s">
        <v>30</v>
      </c>
      <c r="Q853" s="3">
        <v>29.76</v>
      </c>
      <c r="R853" s="3">
        <v>213.82</v>
      </c>
      <c r="S853" s="3">
        <v>123.42</v>
      </c>
      <c r="T853" s="3">
        <v>412</v>
      </c>
      <c r="U853" s="3">
        <v>27</v>
      </c>
      <c r="V853" t="s">
        <v>50</v>
      </c>
    </row>
    <row r="854" spans="1:22" x14ac:dyDescent="0.3">
      <c r="A854" t="s">
        <v>938</v>
      </c>
      <c r="B854" s="1">
        <v>46023</v>
      </c>
      <c r="C854" t="s">
        <v>52</v>
      </c>
      <c r="D854" t="s">
        <v>46</v>
      </c>
      <c r="E854" t="s">
        <v>47</v>
      </c>
      <c r="F854" t="s">
        <v>48</v>
      </c>
      <c r="G854" t="s">
        <v>49</v>
      </c>
      <c r="H854">
        <v>1</v>
      </c>
      <c r="I854" s="3">
        <v>899</v>
      </c>
      <c r="J854" s="4">
        <v>5</v>
      </c>
      <c r="K854" s="3">
        <v>854</v>
      </c>
      <c r="L854" s="3">
        <v>854</v>
      </c>
      <c r="M854" t="s">
        <v>69</v>
      </c>
      <c r="N854" t="s">
        <v>37</v>
      </c>
      <c r="O854" s="3">
        <v>65</v>
      </c>
      <c r="P854" t="s">
        <v>70</v>
      </c>
      <c r="Q854" s="3">
        <v>39.57</v>
      </c>
      <c r="R854" s="3">
        <v>417.45</v>
      </c>
      <c r="S854" s="3">
        <v>331.98</v>
      </c>
      <c r="T854" s="3">
        <v>854</v>
      </c>
      <c r="U854" s="3">
        <v>1</v>
      </c>
      <c r="V854" t="s">
        <v>57</v>
      </c>
    </row>
    <row r="855" spans="1:22" x14ac:dyDescent="0.3">
      <c r="A855" t="s">
        <v>939</v>
      </c>
      <c r="B855" s="1">
        <v>46077</v>
      </c>
      <c r="C855" t="s">
        <v>95</v>
      </c>
      <c r="D855" t="s">
        <v>59</v>
      </c>
      <c r="E855" t="s">
        <v>60</v>
      </c>
      <c r="F855" t="s">
        <v>109</v>
      </c>
      <c r="G855" t="s">
        <v>110</v>
      </c>
      <c r="H855">
        <v>1</v>
      </c>
      <c r="I855" s="3">
        <v>299</v>
      </c>
      <c r="J855" s="4">
        <v>30</v>
      </c>
      <c r="K855" s="3">
        <v>209</v>
      </c>
      <c r="L855" s="3">
        <v>209</v>
      </c>
      <c r="M855" t="s">
        <v>28</v>
      </c>
      <c r="N855" t="s">
        <v>37</v>
      </c>
      <c r="O855" s="3">
        <v>35</v>
      </c>
      <c r="P855" t="s">
        <v>30</v>
      </c>
      <c r="Q855" s="3">
        <v>13.4</v>
      </c>
      <c r="R855" s="3">
        <v>99.47</v>
      </c>
      <c r="S855" s="3">
        <v>61.13</v>
      </c>
      <c r="T855" s="3">
        <v>209</v>
      </c>
      <c r="U855" s="3">
        <v>9</v>
      </c>
      <c r="V855" t="s">
        <v>96</v>
      </c>
    </row>
    <row r="856" spans="1:22" x14ac:dyDescent="0.3">
      <c r="A856" t="s">
        <v>940</v>
      </c>
      <c r="B856" s="1">
        <v>46171</v>
      </c>
      <c r="C856" t="s">
        <v>62</v>
      </c>
      <c r="D856" t="s">
        <v>40</v>
      </c>
      <c r="E856" t="s">
        <v>41</v>
      </c>
      <c r="F856" t="s">
        <v>55</v>
      </c>
      <c r="G856" t="s">
        <v>56</v>
      </c>
      <c r="H856">
        <v>2</v>
      </c>
      <c r="I856" s="3">
        <v>449</v>
      </c>
      <c r="J856" s="4">
        <v>35</v>
      </c>
      <c r="K856" s="3">
        <v>292</v>
      </c>
      <c r="L856" s="3">
        <v>584</v>
      </c>
      <c r="M856" t="s">
        <v>69</v>
      </c>
      <c r="N856" t="s">
        <v>37</v>
      </c>
      <c r="O856" s="3">
        <v>45</v>
      </c>
      <c r="P856" t="s">
        <v>70</v>
      </c>
      <c r="Q856" s="3">
        <v>29.96</v>
      </c>
      <c r="R856" s="3">
        <v>267.36</v>
      </c>
      <c r="S856" s="3">
        <v>241.68</v>
      </c>
      <c r="T856" s="3">
        <v>292</v>
      </c>
      <c r="U856" s="3">
        <v>22</v>
      </c>
      <c r="V856" t="s">
        <v>65</v>
      </c>
    </row>
    <row r="857" spans="1:22" x14ac:dyDescent="0.3">
      <c r="A857" t="s">
        <v>941</v>
      </c>
      <c r="B857" s="1">
        <v>46159</v>
      </c>
      <c r="C857" t="s">
        <v>62</v>
      </c>
      <c r="D857" t="s">
        <v>115</v>
      </c>
      <c r="E857" t="s">
        <v>116</v>
      </c>
      <c r="F857" t="s">
        <v>109</v>
      </c>
      <c r="G857" t="s">
        <v>110</v>
      </c>
      <c r="H857">
        <v>1</v>
      </c>
      <c r="I857" s="3">
        <v>249</v>
      </c>
      <c r="J857" s="4">
        <v>15</v>
      </c>
      <c r="K857" s="3">
        <v>212</v>
      </c>
      <c r="L857" s="3">
        <v>212</v>
      </c>
      <c r="M857" t="s">
        <v>28</v>
      </c>
      <c r="N857" t="s">
        <v>29</v>
      </c>
      <c r="O857" s="3">
        <v>45</v>
      </c>
      <c r="P857" t="s">
        <v>30</v>
      </c>
      <c r="Q857" s="3">
        <v>10.43</v>
      </c>
      <c r="R857" s="3">
        <v>104.93</v>
      </c>
      <c r="S857" s="3">
        <v>51.64</v>
      </c>
      <c r="T857" s="3">
        <v>212</v>
      </c>
      <c r="U857" s="3">
        <v>20</v>
      </c>
      <c r="V857" t="s">
        <v>65</v>
      </c>
    </row>
    <row r="858" spans="1:22" x14ac:dyDescent="0.3">
      <c r="A858" t="s">
        <v>942</v>
      </c>
      <c r="B858" s="1">
        <v>46224</v>
      </c>
      <c r="C858" t="s">
        <v>45</v>
      </c>
      <c r="D858" t="s">
        <v>74</v>
      </c>
      <c r="E858" t="s">
        <v>75</v>
      </c>
      <c r="F858" t="s">
        <v>68</v>
      </c>
      <c r="G858" t="s">
        <v>27</v>
      </c>
      <c r="H858">
        <v>1</v>
      </c>
      <c r="I858" s="3">
        <v>549</v>
      </c>
      <c r="J858" s="4">
        <v>5</v>
      </c>
      <c r="K858" s="3">
        <v>522</v>
      </c>
      <c r="L858" s="3">
        <v>522</v>
      </c>
      <c r="M858" t="s">
        <v>102</v>
      </c>
      <c r="N858" t="s">
        <v>37</v>
      </c>
      <c r="O858" s="3">
        <v>65</v>
      </c>
      <c r="P858" t="s">
        <v>30</v>
      </c>
      <c r="Q858" s="3">
        <v>26.87</v>
      </c>
      <c r="R858" s="3">
        <v>234.57</v>
      </c>
      <c r="S858" s="3">
        <v>195.56</v>
      </c>
      <c r="T858" s="3">
        <v>522</v>
      </c>
      <c r="U858" s="3">
        <v>30</v>
      </c>
      <c r="V858" t="s">
        <v>50</v>
      </c>
    </row>
    <row r="859" spans="1:22" x14ac:dyDescent="0.3">
      <c r="A859" t="s">
        <v>943</v>
      </c>
      <c r="B859" s="1">
        <v>46139</v>
      </c>
      <c r="C859" t="s">
        <v>23</v>
      </c>
      <c r="D859" t="s">
        <v>112</v>
      </c>
      <c r="E859" t="s">
        <v>47</v>
      </c>
      <c r="F859" t="s">
        <v>100</v>
      </c>
      <c r="G859" t="s">
        <v>101</v>
      </c>
      <c r="H859">
        <v>1</v>
      </c>
      <c r="I859" s="3">
        <v>299</v>
      </c>
      <c r="J859" s="4">
        <v>20</v>
      </c>
      <c r="K859" s="3">
        <v>239</v>
      </c>
      <c r="L859" s="3">
        <v>239</v>
      </c>
      <c r="M859" t="s">
        <v>28</v>
      </c>
      <c r="N859" t="s">
        <v>37</v>
      </c>
      <c r="O859" s="3">
        <v>65</v>
      </c>
      <c r="P859" t="s">
        <v>30</v>
      </c>
      <c r="Q859" s="3">
        <v>15.33</v>
      </c>
      <c r="R859" s="3">
        <v>122.7</v>
      </c>
      <c r="S859" s="3">
        <v>35.97</v>
      </c>
      <c r="T859" s="3">
        <v>239</v>
      </c>
      <c r="U859" s="3">
        <v>18</v>
      </c>
      <c r="V859" t="s">
        <v>31</v>
      </c>
    </row>
    <row r="860" spans="1:22" x14ac:dyDescent="0.3">
      <c r="A860" t="s">
        <v>944</v>
      </c>
      <c r="B860" s="1">
        <v>46176</v>
      </c>
      <c r="C860" t="s">
        <v>78</v>
      </c>
      <c r="D860" t="s">
        <v>59</v>
      </c>
      <c r="E860" t="s">
        <v>60</v>
      </c>
      <c r="F860" t="s">
        <v>109</v>
      </c>
      <c r="G860" t="s">
        <v>110</v>
      </c>
      <c r="H860">
        <v>2</v>
      </c>
      <c r="I860" s="3">
        <v>299</v>
      </c>
      <c r="J860" s="4">
        <v>25</v>
      </c>
      <c r="K860" s="3">
        <v>224</v>
      </c>
      <c r="L860" s="3">
        <v>448</v>
      </c>
      <c r="M860" t="s">
        <v>28</v>
      </c>
      <c r="N860" t="s">
        <v>29</v>
      </c>
      <c r="O860" s="3">
        <v>35</v>
      </c>
      <c r="P860" t="s">
        <v>30</v>
      </c>
      <c r="Q860" s="3">
        <v>18.600000000000001</v>
      </c>
      <c r="R860" s="3">
        <v>193.67</v>
      </c>
      <c r="S860" s="3">
        <v>200.73</v>
      </c>
      <c r="T860" s="3">
        <v>224</v>
      </c>
      <c r="U860" s="3">
        <v>23</v>
      </c>
      <c r="V860" t="s">
        <v>81</v>
      </c>
    </row>
    <row r="861" spans="1:22" x14ac:dyDescent="0.3">
      <c r="A861" t="s">
        <v>945</v>
      </c>
      <c r="B861" s="1">
        <v>46085</v>
      </c>
      <c r="C861" t="s">
        <v>39</v>
      </c>
      <c r="D861" t="s">
        <v>59</v>
      </c>
      <c r="E861" t="s">
        <v>60</v>
      </c>
      <c r="F861" t="s">
        <v>100</v>
      </c>
      <c r="G861" t="s">
        <v>101</v>
      </c>
      <c r="H861">
        <v>1</v>
      </c>
      <c r="I861" s="3">
        <v>299</v>
      </c>
      <c r="J861" s="4">
        <v>25</v>
      </c>
      <c r="K861" s="3">
        <v>224</v>
      </c>
      <c r="L861" s="3">
        <v>224</v>
      </c>
      <c r="M861" t="s">
        <v>64</v>
      </c>
      <c r="N861" t="s">
        <v>37</v>
      </c>
      <c r="O861" s="3">
        <v>65</v>
      </c>
      <c r="P861" t="s">
        <v>30</v>
      </c>
      <c r="Q861" s="3">
        <v>16.53</v>
      </c>
      <c r="R861" s="3">
        <v>99.44</v>
      </c>
      <c r="S861" s="3">
        <v>43.03</v>
      </c>
      <c r="T861" s="3">
        <v>224</v>
      </c>
      <c r="U861" s="3">
        <v>10</v>
      </c>
      <c r="V861" t="s">
        <v>43</v>
      </c>
    </row>
    <row r="862" spans="1:22" x14ac:dyDescent="0.3">
      <c r="A862" t="s">
        <v>946</v>
      </c>
      <c r="B862" s="1">
        <v>46266</v>
      </c>
      <c r="C862" t="s">
        <v>86</v>
      </c>
      <c r="D862" t="s">
        <v>74</v>
      </c>
      <c r="E862" t="s">
        <v>75</v>
      </c>
      <c r="F862" t="s">
        <v>26</v>
      </c>
      <c r="G862" t="s">
        <v>27</v>
      </c>
      <c r="H862">
        <v>1</v>
      </c>
      <c r="I862" s="3">
        <v>549</v>
      </c>
      <c r="J862" s="4">
        <v>15</v>
      </c>
      <c r="K862" s="3">
        <v>467</v>
      </c>
      <c r="L862" s="3">
        <v>467</v>
      </c>
      <c r="M862" t="s">
        <v>28</v>
      </c>
      <c r="N862" t="s">
        <v>37</v>
      </c>
      <c r="O862" s="3">
        <v>65</v>
      </c>
      <c r="P862" t="s">
        <v>30</v>
      </c>
      <c r="Q862" s="3">
        <v>30.34</v>
      </c>
      <c r="R862" s="3">
        <v>226.65</v>
      </c>
      <c r="S862" s="3">
        <v>145.01</v>
      </c>
      <c r="T862" s="3">
        <v>467</v>
      </c>
      <c r="U862" s="3">
        <v>36</v>
      </c>
      <c r="V862" t="s">
        <v>87</v>
      </c>
    </row>
    <row r="863" spans="1:22" x14ac:dyDescent="0.3">
      <c r="A863" t="s">
        <v>947</v>
      </c>
      <c r="B863" s="1">
        <v>46047</v>
      </c>
      <c r="C863" t="s">
        <v>52</v>
      </c>
      <c r="D863" t="s">
        <v>46</v>
      </c>
      <c r="E863" t="s">
        <v>47</v>
      </c>
      <c r="F863" t="s">
        <v>42</v>
      </c>
      <c r="G863" t="s">
        <v>27</v>
      </c>
      <c r="H863">
        <v>1</v>
      </c>
      <c r="I863" s="3">
        <v>899</v>
      </c>
      <c r="J863" s="4">
        <v>25</v>
      </c>
      <c r="K863" s="3">
        <v>674</v>
      </c>
      <c r="L863" s="3">
        <v>674</v>
      </c>
      <c r="M863" t="s">
        <v>28</v>
      </c>
      <c r="N863" t="s">
        <v>37</v>
      </c>
      <c r="O863" s="3">
        <v>55</v>
      </c>
      <c r="P863" t="s">
        <v>30</v>
      </c>
      <c r="Q863" s="3">
        <v>50.06</v>
      </c>
      <c r="R863" s="3">
        <v>346.71</v>
      </c>
      <c r="S863" s="3">
        <v>222.23</v>
      </c>
      <c r="T863" s="3">
        <v>674</v>
      </c>
      <c r="U863" s="3">
        <v>4</v>
      </c>
      <c r="V863" t="s">
        <v>57</v>
      </c>
    </row>
    <row r="864" spans="1:22" x14ac:dyDescent="0.3">
      <c r="A864" t="s">
        <v>948</v>
      </c>
      <c r="B864" s="1">
        <v>46112</v>
      </c>
      <c r="C864" t="s">
        <v>39</v>
      </c>
      <c r="D864" t="s">
        <v>53</v>
      </c>
      <c r="E864" t="s">
        <v>54</v>
      </c>
      <c r="F864" t="s">
        <v>35</v>
      </c>
      <c r="G864" t="s">
        <v>36</v>
      </c>
      <c r="H864">
        <v>1</v>
      </c>
      <c r="I864" s="3">
        <v>499</v>
      </c>
      <c r="J864" s="4">
        <v>15</v>
      </c>
      <c r="K864" s="3">
        <v>424</v>
      </c>
      <c r="L864" s="3">
        <v>424</v>
      </c>
      <c r="M864" t="s">
        <v>28</v>
      </c>
      <c r="N864" t="s">
        <v>29</v>
      </c>
      <c r="O864" s="3">
        <v>65</v>
      </c>
      <c r="P864" t="s">
        <v>30</v>
      </c>
      <c r="Q864" s="3">
        <v>17.57</v>
      </c>
      <c r="R864" s="3">
        <v>200.48</v>
      </c>
      <c r="S864" s="3">
        <v>140.94999999999999</v>
      </c>
      <c r="T864" s="3">
        <v>424</v>
      </c>
      <c r="U864" s="3">
        <v>14</v>
      </c>
      <c r="V864" t="s">
        <v>43</v>
      </c>
    </row>
    <row r="865" spans="1:22" x14ac:dyDescent="0.3">
      <c r="A865" t="s">
        <v>949</v>
      </c>
      <c r="B865" s="1">
        <v>46097</v>
      </c>
      <c r="C865" t="s">
        <v>39</v>
      </c>
      <c r="D865" t="s">
        <v>74</v>
      </c>
      <c r="E865" t="s">
        <v>75</v>
      </c>
      <c r="F865" t="s">
        <v>100</v>
      </c>
      <c r="G865" t="s">
        <v>101</v>
      </c>
      <c r="H865">
        <v>2</v>
      </c>
      <c r="I865" s="3">
        <v>549</v>
      </c>
      <c r="J865" s="4">
        <v>30</v>
      </c>
      <c r="K865" s="3">
        <v>384</v>
      </c>
      <c r="L865" s="3">
        <v>768</v>
      </c>
      <c r="M865" t="s">
        <v>28</v>
      </c>
      <c r="N865" t="s">
        <v>37</v>
      </c>
      <c r="O865" s="3">
        <v>35</v>
      </c>
      <c r="P865" t="s">
        <v>30</v>
      </c>
      <c r="Q865" s="3">
        <v>48.18</v>
      </c>
      <c r="R865" s="3">
        <v>356.31</v>
      </c>
      <c r="S865" s="3">
        <v>328.51</v>
      </c>
      <c r="T865" s="3">
        <v>384</v>
      </c>
      <c r="U865" s="3">
        <v>12</v>
      </c>
      <c r="V865" t="s">
        <v>43</v>
      </c>
    </row>
    <row r="866" spans="1:22" x14ac:dyDescent="0.3">
      <c r="A866" t="s">
        <v>950</v>
      </c>
      <c r="B866" s="1">
        <v>46232</v>
      </c>
      <c r="C866" t="s">
        <v>45</v>
      </c>
      <c r="D866" t="s">
        <v>46</v>
      </c>
      <c r="E866" t="s">
        <v>47</v>
      </c>
      <c r="F866" t="s">
        <v>79</v>
      </c>
      <c r="G866" t="s">
        <v>80</v>
      </c>
      <c r="H866">
        <v>2</v>
      </c>
      <c r="I866" s="3">
        <v>899</v>
      </c>
      <c r="J866" s="4">
        <v>25</v>
      </c>
      <c r="K866" s="3">
        <v>674</v>
      </c>
      <c r="L866" s="3">
        <v>1348</v>
      </c>
      <c r="M866" t="s">
        <v>64</v>
      </c>
      <c r="N866" t="s">
        <v>37</v>
      </c>
      <c r="O866" s="3">
        <v>65</v>
      </c>
      <c r="P866" t="s">
        <v>30</v>
      </c>
      <c r="Q866" s="3">
        <v>55.72</v>
      </c>
      <c r="R866" s="3">
        <v>689.2</v>
      </c>
      <c r="S866" s="3">
        <v>538.08000000000004</v>
      </c>
      <c r="T866" s="3">
        <v>674</v>
      </c>
      <c r="U866" s="3">
        <v>31</v>
      </c>
      <c r="V866" t="s">
        <v>50</v>
      </c>
    </row>
    <row r="867" spans="1:22" x14ac:dyDescent="0.3">
      <c r="A867" t="s">
        <v>951</v>
      </c>
      <c r="B867" s="1">
        <v>46039</v>
      </c>
      <c r="C867" t="s">
        <v>52</v>
      </c>
      <c r="D867" t="s">
        <v>24</v>
      </c>
      <c r="E867" t="s">
        <v>25</v>
      </c>
      <c r="F867" t="s">
        <v>48</v>
      </c>
      <c r="G867" t="s">
        <v>49</v>
      </c>
      <c r="H867">
        <v>1</v>
      </c>
      <c r="I867" s="3">
        <v>349</v>
      </c>
      <c r="J867" s="4">
        <v>30</v>
      </c>
      <c r="K867" s="3">
        <v>244</v>
      </c>
      <c r="L867" s="3">
        <v>244</v>
      </c>
      <c r="M867" t="s">
        <v>28</v>
      </c>
      <c r="N867" t="s">
        <v>37</v>
      </c>
      <c r="O867" s="3">
        <v>35</v>
      </c>
      <c r="P867" t="s">
        <v>30</v>
      </c>
      <c r="Q867" s="3">
        <v>13.87</v>
      </c>
      <c r="R867" s="3">
        <v>112.5</v>
      </c>
      <c r="S867" s="3">
        <v>82.63</v>
      </c>
      <c r="T867" s="3">
        <v>244</v>
      </c>
      <c r="U867" s="3">
        <v>3</v>
      </c>
      <c r="V867" t="s">
        <v>57</v>
      </c>
    </row>
    <row r="868" spans="1:22" x14ac:dyDescent="0.3">
      <c r="A868" t="s">
        <v>952</v>
      </c>
      <c r="B868" s="1">
        <v>46150</v>
      </c>
      <c r="C868" t="s">
        <v>62</v>
      </c>
      <c r="D868" t="s">
        <v>53</v>
      </c>
      <c r="E868" t="s">
        <v>54</v>
      </c>
      <c r="F868" t="s">
        <v>55</v>
      </c>
      <c r="G868" t="s">
        <v>56</v>
      </c>
      <c r="H868">
        <v>1</v>
      </c>
      <c r="I868" s="3">
        <v>499</v>
      </c>
      <c r="J868" s="4">
        <v>15</v>
      </c>
      <c r="K868" s="3">
        <v>424</v>
      </c>
      <c r="L868" s="3">
        <v>424</v>
      </c>
      <c r="M868" t="s">
        <v>28</v>
      </c>
      <c r="N868" t="s">
        <v>37</v>
      </c>
      <c r="O868" s="3">
        <v>65</v>
      </c>
      <c r="P868" t="s">
        <v>30</v>
      </c>
      <c r="Q868" s="3">
        <v>23.78</v>
      </c>
      <c r="R868" s="3">
        <v>193.97</v>
      </c>
      <c r="S868" s="3">
        <v>141.25</v>
      </c>
      <c r="T868" s="3">
        <v>424</v>
      </c>
      <c r="U868" s="3">
        <v>19</v>
      </c>
      <c r="V868" t="s">
        <v>65</v>
      </c>
    </row>
    <row r="869" spans="1:22" x14ac:dyDescent="0.3">
      <c r="A869" t="s">
        <v>953</v>
      </c>
      <c r="B869" s="1">
        <v>46273</v>
      </c>
      <c r="C869" t="s">
        <v>86</v>
      </c>
      <c r="D869" t="s">
        <v>46</v>
      </c>
      <c r="E869" t="s">
        <v>47</v>
      </c>
      <c r="F869" t="s">
        <v>26</v>
      </c>
      <c r="G869" t="s">
        <v>27</v>
      </c>
      <c r="H869">
        <v>3</v>
      </c>
      <c r="I869" s="3">
        <v>899</v>
      </c>
      <c r="J869" s="4">
        <v>15</v>
      </c>
      <c r="K869" s="3">
        <v>764</v>
      </c>
      <c r="L869" s="3">
        <v>2292</v>
      </c>
      <c r="M869" t="s">
        <v>28</v>
      </c>
      <c r="N869" t="s">
        <v>29</v>
      </c>
      <c r="O869" s="3">
        <v>65</v>
      </c>
      <c r="P869" t="s">
        <v>30</v>
      </c>
      <c r="Q869" s="3">
        <v>94.61</v>
      </c>
      <c r="R869" s="3">
        <v>1178.1300000000001</v>
      </c>
      <c r="S869" s="3">
        <v>954.26</v>
      </c>
      <c r="T869" s="3">
        <v>764</v>
      </c>
      <c r="U869" s="3">
        <v>37</v>
      </c>
      <c r="V869" t="s">
        <v>87</v>
      </c>
    </row>
    <row r="870" spans="1:22" x14ac:dyDescent="0.3">
      <c r="A870" t="s">
        <v>954</v>
      </c>
      <c r="B870" s="1">
        <v>46201</v>
      </c>
      <c r="C870" t="s">
        <v>78</v>
      </c>
      <c r="D870" t="s">
        <v>46</v>
      </c>
      <c r="E870" t="s">
        <v>47</v>
      </c>
      <c r="F870" t="s">
        <v>26</v>
      </c>
      <c r="G870" t="s">
        <v>27</v>
      </c>
      <c r="H870">
        <v>1</v>
      </c>
      <c r="I870" s="3">
        <v>899</v>
      </c>
      <c r="J870" s="4">
        <v>15</v>
      </c>
      <c r="K870" s="3">
        <v>764</v>
      </c>
      <c r="L870" s="3">
        <v>764</v>
      </c>
      <c r="M870" t="s">
        <v>28</v>
      </c>
      <c r="N870" t="s">
        <v>37</v>
      </c>
      <c r="O870" s="3">
        <v>45</v>
      </c>
      <c r="P870" t="s">
        <v>30</v>
      </c>
      <c r="Q870" s="3">
        <v>32.21</v>
      </c>
      <c r="R870" s="3">
        <v>355.81</v>
      </c>
      <c r="S870" s="3">
        <v>330.98</v>
      </c>
      <c r="T870" s="3">
        <v>764</v>
      </c>
      <c r="U870" s="3">
        <v>26</v>
      </c>
      <c r="V870" t="s">
        <v>81</v>
      </c>
    </row>
    <row r="871" spans="1:22" x14ac:dyDescent="0.3">
      <c r="A871" t="s">
        <v>955</v>
      </c>
      <c r="B871" s="1">
        <v>46204</v>
      </c>
      <c r="C871" t="s">
        <v>45</v>
      </c>
      <c r="D871" t="s">
        <v>59</v>
      </c>
      <c r="E871" t="s">
        <v>60</v>
      </c>
      <c r="F871" t="s">
        <v>84</v>
      </c>
      <c r="G871" t="s">
        <v>84</v>
      </c>
      <c r="H871">
        <v>1</v>
      </c>
      <c r="I871" s="3">
        <v>299</v>
      </c>
      <c r="J871" s="4">
        <v>30</v>
      </c>
      <c r="K871" s="3">
        <v>209</v>
      </c>
      <c r="L871" s="3">
        <v>209</v>
      </c>
      <c r="M871" t="s">
        <v>28</v>
      </c>
      <c r="N871" t="s">
        <v>37</v>
      </c>
      <c r="O871" s="3">
        <v>55</v>
      </c>
      <c r="P871" t="s">
        <v>30</v>
      </c>
      <c r="Q871" s="3">
        <v>16.260000000000002</v>
      </c>
      <c r="R871" s="3">
        <v>97.85</v>
      </c>
      <c r="S871" s="3">
        <v>39.89</v>
      </c>
      <c r="T871" s="3">
        <v>209</v>
      </c>
      <c r="U871" s="3">
        <v>27</v>
      </c>
      <c r="V871" t="s">
        <v>50</v>
      </c>
    </row>
    <row r="872" spans="1:22" x14ac:dyDescent="0.3">
      <c r="A872" t="s">
        <v>956</v>
      </c>
      <c r="B872" s="1">
        <v>46174</v>
      </c>
      <c r="C872" t="s">
        <v>78</v>
      </c>
      <c r="D872" t="s">
        <v>93</v>
      </c>
      <c r="E872" t="s">
        <v>47</v>
      </c>
      <c r="F872" t="s">
        <v>48</v>
      </c>
      <c r="G872" t="s">
        <v>49</v>
      </c>
      <c r="H872">
        <v>1</v>
      </c>
      <c r="I872" s="3">
        <v>699</v>
      </c>
      <c r="J872" s="4">
        <v>10</v>
      </c>
      <c r="K872" s="3">
        <v>629</v>
      </c>
      <c r="L872" s="3">
        <v>629</v>
      </c>
      <c r="M872" t="s">
        <v>76</v>
      </c>
      <c r="N872" t="s">
        <v>37</v>
      </c>
      <c r="O872" s="3">
        <v>55</v>
      </c>
      <c r="P872" t="s">
        <v>30</v>
      </c>
      <c r="Q872" s="3">
        <v>46.51</v>
      </c>
      <c r="R872" s="3">
        <v>308.58999999999997</v>
      </c>
      <c r="S872" s="3">
        <v>218.9</v>
      </c>
      <c r="T872" s="3">
        <v>629</v>
      </c>
      <c r="U872" s="3">
        <v>23</v>
      </c>
      <c r="V872" t="s">
        <v>81</v>
      </c>
    </row>
    <row r="873" spans="1:22" x14ac:dyDescent="0.3">
      <c r="A873" t="s">
        <v>957</v>
      </c>
      <c r="B873" s="1">
        <v>46047</v>
      </c>
      <c r="C873" t="s">
        <v>52</v>
      </c>
      <c r="D873" t="s">
        <v>63</v>
      </c>
      <c r="E873" t="s">
        <v>47</v>
      </c>
      <c r="F873" t="s">
        <v>35</v>
      </c>
      <c r="G873" t="s">
        <v>36</v>
      </c>
      <c r="H873">
        <v>1</v>
      </c>
      <c r="I873" s="3">
        <v>399</v>
      </c>
      <c r="J873" s="4">
        <v>15</v>
      </c>
      <c r="K873" s="3">
        <v>339</v>
      </c>
      <c r="L873" s="3">
        <v>339</v>
      </c>
      <c r="M873" t="s">
        <v>76</v>
      </c>
      <c r="N873" t="s">
        <v>29</v>
      </c>
      <c r="O873" s="3">
        <v>55</v>
      </c>
      <c r="P873" t="s">
        <v>30</v>
      </c>
      <c r="Q873" s="3">
        <v>24.45</v>
      </c>
      <c r="R873" s="3">
        <v>143.88</v>
      </c>
      <c r="S873" s="3">
        <v>115.67</v>
      </c>
      <c r="T873" s="3">
        <v>339</v>
      </c>
      <c r="U873" s="3">
        <v>4</v>
      </c>
      <c r="V873" t="s">
        <v>57</v>
      </c>
    </row>
    <row r="874" spans="1:22" x14ac:dyDescent="0.3">
      <c r="A874" t="s">
        <v>958</v>
      </c>
      <c r="B874" s="1">
        <v>46202</v>
      </c>
      <c r="C874" t="s">
        <v>78</v>
      </c>
      <c r="D874" t="s">
        <v>40</v>
      </c>
      <c r="E874" t="s">
        <v>41</v>
      </c>
      <c r="F874" t="s">
        <v>48</v>
      </c>
      <c r="G874" t="s">
        <v>49</v>
      </c>
      <c r="H874">
        <v>2</v>
      </c>
      <c r="I874" s="3">
        <v>449</v>
      </c>
      <c r="J874" s="4">
        <v>10</v>
      </c>
      <c r="K874" s="3">
        <v>404</v>
      </c>
      <c r="L874" s="3">
        <v>808</v>
      </c>
      <c r="M874" t="s">
        <v>64</v>
      </c>
      <c r="N874" t="s">
        <v>37</v>
      </c>
      <c r="O874" s="3">
        <v>65</v>
      </c>
      <c r="P874" t="s">
        <v>30</v>
      </c>
      <c r="Q874" s="3">
        <v>45.67</v>
      </c>
      <c r="R874" s="3">
        <v>382.79</v>
      </c>
      <c r="S874" s="3">
        <v>314.54000000000002</v>
      </c>
      <c r="T874" s="3">
        <v>404</v>
      </c>
      <c r="U874" s="3">
        <v>27</v>
      </c>
      <c r="V874" t="s">
        <v>81</v>
      </c>
    </row>
    <row r="875" spans="1:22" x14ac:dyDescent="0.3">
      <c r="A875" t="s">
        <v>959</v>
      </c>
      <c r="B875" s="1">
        <v>46220</v>
      </c>
      <c r="C875" t="s">
        <v>45</v>
      </c>
      <c r="D875" t="s">
        <v>93</v>
      </c>
      <c r="E875" t="s">
        <v>47</v>
      </c>
      <c r="F875" t="s">
        <v>42</v>
      </c>
      <c r="G875" t="s">
        <v>27</v>
      </c>
      <c r="H875">
        <v>1</v>
      </c>
      <c r="I875" s="3">
        <v>699</v>
      </c>
      <c r="J875" s="4">
        <v>25</v>
      </c>
      <c r="K875" s="3">
        <v>524</v>
      </c>
      <c r="L875" s="3">
        <v>524</v>
      </c>
      <c r="M875" t="s">
        <v>28</v>
      </c>
      <c r="N875" t="s">
        <v>37</v>
      </c>
      <c r="O875" s="3">
        <v>55</v>
      </c>
      <c r="P875" t="s">
        <v>30</v>
      </c>
      <c r="Q875" s="3">
        <v>34.450000000000003</v>
      </c>
      <c r="R875" s="3">
        <v>225.74</v>
      </c>
      <c r="S875" s="3">
        <v>208.81</v>
      </c>
      <c r="T875" s="3">
        <v>524</v>
      </c>
      <c r="U875" s="3">
        <v>29</v>
      </c>
      <c r="V875" t="s">
        <v>50</v>
      </c>
    </row>
    <row r="876" spans="1:22" x14ac:dyDescent="0.3">
      <c r="A876" t="s">
        <v>960</v>
      </c>
      <c r="B876" s="1">
        <v>46183</v>
      </c>
      <c r="C876" t="s">
        <v>78</v>
      </c>
      <c r="D876" t="s">
        <v>112</v>
      </c>
      <c r="E876" t="s">
        <v>47</v>
      </c>
      <c r="F876" t="s">
        <v>35</v>
      </c>
      <c r="G876" t="s">
        <v>36</v>
      </c>
      <c r="H876">
        <v>1</v>
      </c>
      <c r="I876" s="3">
        <v>299</v>
      </c>
      <c r="J876" s="4">
        <v>15</v>
      </c>
      <c r="K876" s="3">
        <v>254</v>
      </c>
      <c r="L876" s="3">
        <v>254</v>
      </c>
      <c r="M876" t="s">
        <v>28</v>
      </c>
      <c r="N876" t="s">
        <v>37</v>
      </c>
      <c r="O876" s="3">
        <v>45</v>
      </c>
      <c r="P876" t="s">
        <v>30</v>
      </c>
      <c r="Q876" s="3">
        <v>18.93</v>
      </c>
      <c r="R876" s="3">
        <v>126.3</v>
      </c>
      <c r="S876" s="3">
        <v>63.77</v>
      </c>
      <c r="T876" s="3">
        <v>254</v>
      </c>
      <c r="U876" s="3">
        <v>24</v>
      </c>
      <c r="V876" t="s">
        <v>81</v>
      </c>
    </row>
    <row r="877" spans="1:22" x14ac:dyDescent="0.3">
      <c r="A877" t="s">
        <v>961</v>
      </c>
      <c r="B877" s="1">
        <v>46199</v>
      </c>
      <c r="C877" t="s">
        <v>78</v>
      </c>
      <c r="D877" t="s">
        <v>130</v>
      </c>
      <c r="E877" t="s">
        <v>54</v>
      </c>
      <c r="F877" t="s">
        <v>100</v>
      </c>
      <c r="G877" t="s">
        <v>101</v>
      </c>
      <c r="H877">
        <v>1</v>
      </c>
      <c r="I877" s="3">
        <v>699</v>
      </c>
      <c r="J877" s="4">
        <v>40</v>
      </c>
      <c r="K877" s="3">
        <v>419</v>
      </c>
      <c r="L877" s="3">
        <v>419</v>
      </c>
      <c r="M877" t="s">
        <v>28</v>
      </c>
      <c r="N877" t="s">
        <v>29</v>
      </c>
      <c r="O877" s="3">
        <v>35</v>
      </c>
      <c r="P877" t="s">
        <v>30</v>
      </c>
      <c r="Q877" s="3">
        <v>18.8</v>
      </c>
      <c r="R877" s="3">
        <v>197.34</v>
      </c>
      <c r="S877" s="3">
        <v>167.86</v>
      </c>
      <c r="T877" s="3">
        <v>419</v>
      </c>
      <c r="U877" s="3">
        <v>26</v>
      </c>
      <c r="V877" t="s">
        <v>81</v>
      </c>
    </row>
    <row r="878" spans="1:22" x14ac:dyDescent="0.3">
      <c r="A878" t="s">
        <v>962</v>
      </c>
      <c r="B878" s="1">
        <v>46085</v>
      </c>
      <c r="C878" t="s">
        <v>39</v>
      </c>
      <c r="D878" t="s">
        <v>112</v>
      </c>
      <c r="E878" t="s">
        <v>47</v>
      </c>
      <c r="F878" t="s">
        <v>79</v>
      </c>
      <c r="G878" t="s">
        <v>80</v>
      </c>
      <c r="H878">
        <v>1</v>
      </c>
      <c r="I878" s="3">
        <v>299</v>
      </c>
      <c r="J878" s="4">
        <v>25</v>
      </c>
      <c r="K878" s="3">
        <v>224</v>
      </c>
      <c r="L878" s="3">
        <v>224</v>
      </c>
      <c r="M878" t="s">
        <v>102</v>
      </c>
      <c r="N878" t="s">
        <v>29</v>
      </c>
      <c r="O878" s="3">
        <v>35</v>
      </c>
      <c r="P878" t="s">
        <v>30</v>
      </c>
      <c r="Q878" s="3">
        <v>10.26</v>
      </c>
      <c r="R878" s="3">
        <v>114.34</v>
      </c>
      <c r="S878" s="3">
        <v>64.400000000000006</v>
      </c>
      <c r="T878" s="3">
        <v>224</v>
      </c>
      <c r="U878" s="3">
        <v>10</v>
      </c>
      <c r="V878" t="s">
        <v>43</v>
      </c>
    </row>
    <row r="879" spans="1:22" x14ac:dyDescent="0.3">
      <c r="A879" t="s">
        <v>963</v>
      </c>
      <c r="B879" s="1">
        <v>46172</v>
      </c>
      <c r="C879" t="s">
        <v>62</v>
      </c>
      <c r="D879" t="s">
        <v>59</v>
      </c>
      <c r="E879" t="s">
        <v>60</v>
      </c>
      <c r="F879" t="s">
        <v>68</v>
      </c>
      <c r="G879" t="s">
        <v>27</v>
      </c>
      <c r="H879">
        <v>2</v>
      </c>
      <c r="I879" s="3">
        <v>299</v>
      </c>
      <c r="J879" s="4">
        <v>15</v>
      </c>
      <c r="K879" s="3">
        <v>254</v>
      </c>
      <c r="L879" s="3">
        <v>508</v>
      </c>
      <c r="M879" t="s">
        <v>69</v>
      </c>
      <c r="N879" t="s">
        <v>29</v>
      </c>
      <c r="O879" s="3">
        <v>55</v>
      </c>
      <c r="P879" t="s">
        <v>70</v>
      </c>
      <c r="Q879" s="3">
        <v>21.92</v>
      </c>
      <c r="R879" s="3">
        <v>248.58</v>
      </c>
      <c r="S879" s="3">
        <v>182.5</v>
      </c>
      <c r="T879" s="3">
        <v>254</v>
      </c>
      <c r="U879" s="3">
        <v>22</v>
      </c>
      <c r="V879" t="s">
        <v>65</v>
      </c>
    </row>
    <row r="880" spans="1:22" x14ac:dyDescent="0.3">
      <c r="A880" t="s">
        <v>964</v>
      </c>
      <c r="B880" s="1">
        <v>46176</v>
      </c>
      <c r="C880" t="s">
        <v>78</v>
      </c>
      <c r="D880" t="s">
        <v>112</v>
      </c>
      <c r="E880" t="s">
        <v>47</v>
      </c>
      <c r="F880" t="s">
        <v>26</v>
      </c>
      <c r="G880" t="s">
        <v>27</v>
      </c>
      <c r="H880">
        <v>2</v>
      </c>
      <c r="I880" s="3">
        <v>299</v>
      </c>
      <c r="J880" s="4">
        <v>40</v>
      </c>
      <c r="K880" s="3">
        <v>179</v>
      </c>
      <c r="L880" s="3">
        <v>358</v>
      </c>
      <c r="M880" t="s">
        <v>28</v>
      </c>
      <c r="N880" t="s">
        <v>37</v>
      </c>
      <c r="O880" s="3">
        <v>45</v>
      </c>
      <c r="P880" t="s">
        <v>30</v>
      </c>
      <c r="Q880" s="3">
        <v>26.91</v>
      </c>
      <c r="R880" s="3">
        <v>161.63</v>
      </c>
      <c r="S880" s="3">
        <v>124.46</v>
      </c>
      <c r="T880" s="3">
        <v>179</v>
      </c>
      <c r="U880" s="3">
        <v>23</v>
      </c>
      <c r="V880" t="s">
        <v>81</v>
      </c>
    </row>
    <row r="881" spans="1:22" x14ac:dyDescent="0.3">
      <c r="A881" t="s">
        <v>965</v>
      </c>
      <c r="B881" s="1">
        <v>46178</v>
      </c>
      <c r="C881" t="s">
        <v>78</v>
      </c>
      <c r="D881" t="s">
        <v>130</v>
      </c>
      <c r="E881" t="s">
        <v>54</v>
      </c>
      <c r="F881" t="s">
        <v>100</v>
      </c>
      <c r="G881" t="s">
        <v>101</v>
      </c>
      <c r="H881">
        <v>1</v>
      </c>
      <c r="I881" s="3">
        <v>699</v>
      </c>
      <c r="J881" s="4">
        <v>25</v>
      </c>
      <c r="K881" s="3">
        <v>524</v>
      </c>
      <c r="L881" s="3">
        <v>524</v>
      </c>
      <c r="M881" t="s">
        <v>28</v>
      </c>
      <c r="N881" t="s">
        <v>29</v>
      </c>
      <c r="O881" s="3">
        <v>55</v>
      </c>
      <c r="P881" t="s">
        <v>30</v>
      </c>
      <c r="Q881" s="3">
        <v>39.72</v>
      </c>
      <c r="R881" s="3">
        <v>271.57</v>
      </c>
      <c r="S881" s="3">
        <v>157.71</v>
      </c>
      <c r="T881" s="3">
        <v>524</v>
      </c>
      <c r="U881" s="3">
        <v>23</v>
      </c>
      <c r="V881" t="s">
        <v>81</v>
      </c>
    </row>
    <row r="882" spans="1:22" x14ac:dyDescent="0.3">
      <c r="A882" t="s">
        <v>966</v>
      </c>
      <c r="B882" s="1">
        <v>46071</v>
      </c>
      <c r="C882" t="s">
        <v>95</v>
      </c>
      <c r="D882" t="s">
        <v>74</v>
      </c>
      <c r="E882" t="s">
        <v>75</v>
      </c>
      <c r="F882" t="s">
        <v>68</v>
      </c>
      <c r="G882" t="s">
        <v>27</v>
      </c>
      <c r="H882">
        <v>1</v>
      </c>
      <c r="I882" s="3">
        <v>549</v>
      </c>
      <c r="J882" s="4">
        <v>10</v>
      </c>
      <c r="K882" s="3">
        <v>494</v>
      </c>
      <c r="L882" s="3">
        <v>494</v>
      </c>
      <c r="M882" t="s">
        <v>69</v>
      </c>
      <c r="N882" t="s">
        <v>29</v>
      </c>
      <c r="O882" s="3">
        <v>35</v>
      </c>
      <c r="P882" t="s">
        <v>70</v>
      </c>
      <c r="Q882" s="3">
        <v>20.12</v>
      </c>
      <c r="R882" s="3">
        <v>220.84</v>
      </c>
      <c r="S882" s="3">
        <v>218.04</v>
      </c>
      <c r="T882" s="3">
        <v>494</v>
      </c>
      <c r="U882" s="3">
        <v>8</v>
      </c>
      <c r="V882" t="s">
        <v>96</v>
      </c>
    </row>
    <row r="883" spans="1:22" x14ac:dyDescent="0.3">
      <c r="A883" t="s">
        <v>967</v>
      </c>
      <c r="B883" s="1">
        <v>46106</v>
      </c>
      <c r="C883" t="s">
        <v>39</v>
      </c>
      <c r="D883" t="s">
        <v>63</v>
      </c>
      <c r="E883" t="s">
        <v>47</v>
      </c>
      <c r="F883" t="s">
        <v>84</v>
      </c>
      <c r="G883" t="s">
        <v>84</v>
      </c>
      <c r="H883">
        <v>1</v>
      </c>
      <c r="I883" s="3">
        <v>399</v>
      </c>
      <c r="J883" s="4">
        <v>15</v>
      </c>
      <c r="K883" s="3">
        <v>339</v>
      </c>
      <c r="L883" s="3">
        <v>339</v>
      </c>
      <c r="M883" t="s">
        <v>28</v>
      </c>
      <c r="N883" t="s">
        <v>37</v>
      </c>
      <c r="O883" s="3">
        <v>45</v>
      </c>
      <c r="P883" t="s">
        <v>30</v>
      </c>
      <c r="Q883" s="3">
        <v>17.940000000000001</v>
      </c>
      <c r="R883" s="3">
        <v>170.82</v>
      </c>
      <c r="S883" s="3">
        <v>105.24</v>
      </c>
      <c r="T883" s="3">
        <v>339</v>
      </c>
      <c r="U883" s="3">
        <v>13</v>
      </c>
      <c r="V883" t="s">
        <v>43</v>
      </c>
    </row>
    <row r="884" spans="1:22" x14ac:dyDescent="0.3">
      <c r="A884" t="s">
        <v>968</v>
      </c>
      <c r="B884" s="1">
        <v>46199</v>
      </c>
      <c r="C884" t="s">
        <v>78</v>
      </c>
      <c r="D884" t="s">
        <v>40</v>
      </c>
      <c r="E884" t="s">
        <v>41</v>
      </c>
      <c r="F884" t="s">
        <v>48</v>
      </c>
      <c r="G884" t="s">
        <v>49</v>
      </c>
      <c r="H884">
        <v>1</v>
      </c>
      <c r="I884" s="3">
        <v>449</v>
      </c>
      <c r="J884" s="4">
        <v>35</v>
      </c>
      <c r="K884" s="3">
        <v>292</v>
      </c>
      <c r="L884" s="3">
        <v>292</v>
      </c>
      <c r="M884" t="s">
        <v>28</v>
      </c>
      <c r="N884" t="s">
        <v>37</v>
      </c>
      <c r="O884" s="3">
        <v>45</v>
      </c>
      <c r="P884" t="s">
        <v>30</v>
      </c>
      <c r="Q884" s="3">
        <v>13.04</v>
      </c>
      <c r="R884" s="3">
        <v>130.62</v>
      </c>
      <c r="S884" s="3">
        <v>103.34</v>
      </c>
      <c r="T884" s="3">
        <v>292</v>
      </c>
      <c r="U884" s="3">
        <v>26</v>
      </c>
      <c r="V884" t="s">
        <v>81</v>
      </c>
    </row>
    <row r="885" spans="1:22" x14ac:dyDescent="0.3">
      <c r="A885" t="s">
        <v>969</v>
      </c>
      <c r="B885" s="1">
        <v>46170</v>
      </c>
      <c r="C885" t="s">
        <v>62</v>
      </c>
      <c r="D885" t="s">
        <v>130</v>
      </c>
      <c r="E885" t="s">
        <v>54</v>
      </c>
      <c r="F885" t="s">
        <v>55</v>
      </c>
      <c r="G885" t="s">
        <v>56</v>
      </c>
      <c r="H885">
        <v>2</v>
      </c>
      <c r="I885" s="3">
        <v>699</v>
      </c>
      <c r="J885" s="4">
        <v>10</v>
      </c>
      <c r="K885" s="3">
        <v>629</v>
      </c>
      <c r="L885" s="3">
        <v>1258</v>
      </c>
      <c r="M885" t="s">
        <v>76</v>
      </c>
      <c r="N885" t="s">
        <v>37</v>
      </c>
      <c r="O885" s="3">
        <v>45</v>
      </c>
      <c r="P885" t="s">
        <v>30</v>
      </c>
      <c r="Q885" s="3">
        <v>67.7</v>
      </c>
      <c r="R885" s="3">
        <v>653.03</v>
      </c>
      <c r="S885" s="3">
        <v>492.27</v>
      </c>
      <c r="T885" s="3">
        <v>629</v>
      </c>
      <c r="U885" s="3">
        <v>22</v>
      </c>
      <c r="V885" t="s">
        <v>65</v>
      </c>
    </row>
    <row r="886" spans="1:22" x14ac:dyDescent="0.3">
      <c r="A886" t="s">
        <v>970</v>
      </c>
      <c r="B886" s="1">
        <v>46140</v>
      </c>
      <c r="C886" t="s">
        <v>23</v>
      </c>
      <c r="D886" t="s">
        <v>115</v>
      </c>
      <c r="E886" t="s">
        <v>116</v>
      </c>
      <c r="F886" t="s">
        <v>79</v>
      </c>
      <c r="G886" t="s">
        <v>80</v>
      </c>
      <c r="H886">
        <v>1</v>
      </c>
      <c r="I886" s="3">
        <v>249</v>
      </c>
      <c r="J886" s="4">
        <v>30</v>
      </c>
      <c r="K886" s="3">
        <v>174</v>
      </c>
      <c r="L886" s="3">
        <v>174</v>
      </c>
      <c r="M886" t="s">
        <v>28</v>
      </c>
      <c r="N886" t="s">
        <v>37</v>
      </c>
      <c r="O886" s="3">
        <v>55</v>
      </c>
      <c r="P886" t="s">
        <v>30</v>
      </c>
      <c r="Q886" s="3">
        <v>7.24</v>
      </c>
      <c r="R886" s="3">
        <v>87.69</v>
      </c>
      <c r="S886" s="3">
        <v>24.07</v>
      </c>
      <c r="T886" s="3">
        <v>174</v>
      </c>
      <c r="U886" s="3">
        <v>18</v>
      </c>
      <c r="V886" t="s">
        <v>31</v>
      </c>
    </row>
    <row r="887" spans="1:22" x14ac:dyDescent="0.3">
      <c r="A887" t="s">
        <v>971</v>
      </c>
      <c r="B887" s="1">
        <v>46085</v>
      </c>
      <c r="C887" t="s">
        <v>39</v>
      </c>
      <c r="D887" t="s">
        <v>130</v>
      </c>
      <c r="E887" t="s">
        <v>54</v>
      </c>
      <c r="F887" t="s">
        <v>84</v>
      </c>
      <c r="G887" t="s">
        <v>84</v>
      </c>
      <c r="H887">
        <v>1</v>
      </c>
      <c r="I887" s="3">
        <v>699</v>
      </c>
      <c r="J887" s="4">
        <v>20</v>
      </c>
      <c r="K887" s="3">
        <v>559</v>
      </c>
      <c r="L887" s="3">
        <v>559</v>
      </c>
      <c r="M887" t="s">
        <v>28</v>
      </c>
      <c r="N887" t="s">
        <v>29</v>
      </c>
      <c r="O887" s="3">
        <v>45</v>
      </c>
      <c r="P887" t="s">
        <v>30</v>
      </c>
      <c r="Q887" s="3">
        <v>36.17</v>
      </c>
      <c r="R887" s="3">
        <v>260.29000000000002</v>
      </c>
      <c r="S887" s="3">
        <v>217.54</v>
      </c>
      <c r="T887" s="3">
        <v>559</v>
      </c>
      <c r="U887" s="3">
        <v>10</v>
      </c>
      <c r="V887" t="s">
        <v>43</v>
      </c>
    </row>
    <row r="888" spans="1:22" x14ac:dyDescent="0.3">
      <c r="A888" t="s">
        <v>972</v>
      </c>
      <c r="B888" s="1">
        <v>46211</v>
      </c>
      <c r="C888" t="s">
        <v>45</v>
      </c>
      <c r="D888" t="s">
        <v>24</v>
      </c>
      <c r="E888" t="s">
        <v>25</v>
      </c>
      <c r="F888" t="s">
        <v>55</v>
      </c>
      <c r="G888" t="s">
        <v>56</v>
      </c>
      <c r="H888">
        <v>2</v>
      </c>
      <c r="I888" s="3">
        <v>349</v>
      </c>
      <c r="J888" s="4">
        <v>30</v>
      </c>
      <c r="K888" s="3">
        <v>244</v>
      </c>
      <c r="L888" s="3">
        <v>488</v>
      </c>
      <c r="M888" t="s">
        <v>28</v>
      </c>
      <c r="N888" t="s">
        <v>37</v>
      </c>
      <c r="O888" s="3">
        <v>65</v>
      </c>
      <c r="P888" t="s">
        <v>30</v>
      </c>
      <c r="Q888" s="3">
        <v>34.07</v>
      </c>
      <c r="R888" s="3">
        <v>215.38</v>
      </c>
      <c r="S888" s="3">
        <v>173.55</v>
      </c>
      <c r="T888" s="3">
        <v>244</v>
      </c>
      <c r="U888" s="3">
        <v>28</v>
      </c>
      <c r="V888" t="s">
        <v>50</v>
      </c>
    </row>
    <row r="889" spans="1:22" x14ac:dyDescent="0.3">
      <c r="A889" t="s">
        <v>973</v>
      </c>
      <c r="B889" s="1">
        <v>46071</v>
      </c>
      <c r="C889" t="s">
        <v>95</v>
      </c>
      <c r="D889" t="s">
        <v>40</v>
      </c>
      <c r="E889" t="s">
        <v>41</v>
      </c>
      <c r="F889" t="s">
        <v>55</v>
      </c>
      <c r="G889" t="s">
        <v>56</v>
      </c>
      <c r="H889">
        <v>2</v>
      </c>
      <c r="I889" s="3">
        <v>449</v>
      </c>
      <c r="J889" s="4">
        <v>20</v>
      </c>
      <c r="K889" s="3">
        <v>359</v>
      </c>
      <c r="L889" s="3">
        <v>718</v>
      </c>
      <c r="M889" t="s">
        <v>76</v>
      </c>
      <c r="N889" t="s">
        <v>29</v>
      </c>
      <c r="O889" s="3">
        <v>45</v>
      </c>
      <c r="P889" t="s">
        <v>30</v>
      </c>
      <c r="Q889" s="3">
        <v>51.52</v>
      </c>
      <c r="R889" s="3">
        <v>364.34</v>
      </c>
      <c r="S889" s="3">
        <v>257.14</v>
      </c>
      <c r="T889" s="3">
        <v>359</v>
      </c>
      <c r="U889" s="3">
        <v>8</v>
      </c>
      <c r="V889" t="s">
        <v>96</v>
      </c>
    </row>
    <row r="890" spans="1:22" x14ac:dyDescent="0.3">
      <c r="A890" t="s">
        <v>974</v>
      </c>
      <c r="B890" s="1">
        <v>46279</v>
      </c>
      <c r="C890" t="s">
        <v>86</v>
      </c>
      <c r="D890" t="s">
        <v>74</v>
      </c>
      <c r="E890" t="s">
        <v>75</v>
      </c>
      <c r="F890" t="s">
        <v>26</v>
      </c>
      <c r="G890" t="s">
        <v>27</v>
      </c>
      <c r="H890">
        <v>1</v>
      </c>
      <c r="I890" s="3">
        <v>549</v>
      </c>
      <c r="J890" s="4">
        <v>30</v>
      </c>
      <c r="K890" s="3">
        <v>384</v>
      </c>
      <c r="L890" s="3">
        <v>384</v>
      </c>
      <c r="M890" t="s">
        <v>28</v>
      </c>
      <c r="N890" t="s">
        <v>37</v>
      </c>
      <c r="O890" s="3">
        <v>55</v>
      </c>
      <c r="P890" t="s">
        <v>30</v>
      </c>
      <c r="Q890" s="3">
        <v>30.41</v>
      </c>
      <c r="R890" s="3">
        <v>171.58</v>
      </c>
      <c r="S890" s="3">
        <v>127.01</v>
      </c>
      <c r="T890" s="3">
        <v>384</v>
      </c>
      <c r="U890" s="3">
        <v>38</v>
      </c>
      <c r="V890" t="s">
        <v>87</v>
      </c>
    </row>
    <row r="891" spans="1:22" x14ac:dyDescent="0.3">
      <c r="A891" t="s">
        <v>975</v>
      </c>
      <c r="B891" s="1">
        <v>46246</v>
      </c>
      <c r="C891" t="s">
        <v>67</v>
      </c>
      <c r="D891" t="s">
        <v>74</v>
      </c>
      <c r="E891" t="s">
        <v>75</v>
      </c>
      <c r="F891" t="s">
        <v>42</v>
      </c>
      <c r="G891" t="s">
        <v>27</v>
      </c>
      <c r="H891">
        <v>1</v>
      </c>
      <c r="I891" s="3">
        <v>549</v>
      </c>
      <c r="J891" s="4">
        <v>25</v>
      </c>
      <c r="K891" s="3">
        <v>412</v>
      </c>
      <c r="L891" s="3">
        <v>412</v>
      </c>
      <c r="M891" t="s">
        <v>28</v>
      </c>
      <c r="N891" t="s">
        <v>37</v>
      </c>
      <c r="O891" s="3">
        <v>65</v>
      </c>
      <c r="P891" t="s">
        <v>30</v>
      </c>
      <c r="Q891" s="3">
        <v>28.2</v>
      </c>
      <c r="R891" s="3">
        <v>191.13</v>
      </c>
      <c r="S891" s="3">
        <v>127.67</v>
      </c>
      <c r="T891" s="3">
        <v>412</v>
      </c>
      <c r="U891" s="3">
        <v>33</v>
      </c>
      <c r="V891" t="s">
        <v>71</v>
      </c>
    </row>
    <row r="892" spans="1:22" x14ac:dyDescent="0.3">
      <c r="A892" t="s">
        <v>976</v>
      </c>
      <c r="B892" s="1">
        <v>46163</v>
      </c>
      <c r="C892" t="s">
        <v>62</v>
      </c>
      <c r="D892" t="s">
        <v>53</v>
      </c>
      <c r="E892" t="s">
        <v>54</v>
      </c>
      <c r="F892" t="s">
        <v>42</v>
      </c>
      <c r="G892" t="s">
        <v>27</v>
      </c>
      <c r="H892">
        <v>1</v>
      </c>
      <c r="I892" s="3">
        <v>499</v>
      </c>
      <c r="J892" s="4">
        <v>15</v>
      </c>
      <c r="K892" s="3">
        <v>424</v>
      </c>
      <c r="L892" s="3">
        <v>424</v>
      </c>
      <c r="M892" t="s">
        <v>76</v>
      </c>
      <c r="N892" t="s">
        <v>37</v>
      </c>
      <c r="O892" s="3">
        <v>45</v>
      </c>
      <c r="P892" t="s">
        <v>30</v>
      </c>
      <c r="Q892" s="3">
        <v>26.32</v>
      </c>
      <c r="R892" s="3">
        <v>204.87</v>
      </c>
      <c r="S892" s="3">
        <v>147.81</v>
      </c>
      <c r="T892" s="3">
        <v>424</v>
      </c>
      <c r="U892" s="3">
        <v>21</v>
      </c>
      <c r="V892" t="s">
        <v>65</v>
      </c>
    </row>
    <row r="893" spans="1:22" x14ac:dyDescent="0.3">
      <c r="A893" t="s">
        <v>977</v>
      </c>
      <c r="B893" s="1">
        <v>46237</v>
      </c>
      <c r="C893" t="s">
        <v>67</v>
      </c>
      <c r="D893" t="s">
        <v>33</v>
      </c>
      <c r="E893" t="s">
        <v>34</v>
      </c>
      <c r="F893" t="s">
        <v>100</v>
      </c>
      <c r="G893" t="s">
        <v>101</v>
      </c>
      <c r="H893">
        <v>3</v>
      </c>
      <c r="I893" s="3">
        <v>599</v>
      </c>
      <c r="J893" s="4">
        <v>5</v>
      </c>
      <c r="K893" s="3">
        <v>569</v>
      </c>
      <c r="L893" s="3">
        <v>1707</v>
      </c>
      <c r="M893" t="s">
        <v>28</v>
      </c>
      <c r="N893" t="s">
        <v>37</v>
      </c>
      <c r="O893" s="3">
        <v>35</v>
      </c>
      <c r="P893" t="s">
        <v>30</v>
      </c>
      <c r="Q893" s="3">
        <v>124.29</v>
      </c>
      <c r="R893" s="3">
        <v>752.67</v>
      </c>
      <c r="S893" s="3">
        <v>795.04</v>
      </c>
      <c r="T893" s="3">
        <v>569</v>
      </c>
      <c r="U893" s="3">
        <v>32</v>
      </c>
      <c r="V893" t="s">
        <v>71</v>
      </c>
    </row>
    <row r="894" spans="1:22" x14ac:dyDescent="0.3">
      <c r="A894" t="s">
        <v>978</v>
      </c>
      <c r="B894" s="1">
        <v>46233</v>
      </c>
      <c r="C894" t="s">
        <v>45</v>
      </c>
      <c r="D894" t="s">
        <v>33</v>
      </c>
      <c r="E894" t="s">
        <v>34</v>
      </c>
      <c r="F894" t="s">
        <v>26</v>
      </c>
      <c r="G894" t="s">
        <v>27</v>
      </c>
      <c r="H894">
        <v>1</v>
      </c>
      <c r="I894" s="3">
        <v>599</v>
      </c>
      <c r="J894" s="4">
        <v>10</v>
      </c>
      <c r="K894" s="3">
        <v>539</v>
      </c>
      <c r="L894" s="3">
        <v>539</v>
      </c>
      <c r="M894" t="s">
        <v>28</v>
      </c>
      <c r="N894" t="s">
        <v>29</v>
      </c>
      <c r="O894" s="3">
        <v>35</v>
      </c>
      <c r="P894" t="s">
        <v>30</v>
      </c>
      <c r="Q894" s="3">
        <v>26.95</v>
      </c>
      <c r="R894" s="3">
        <v>259.23</v>
      </c>
      <c r="S894" s="3">
        <v>217.82</v>
      </c>
      <c r="T894" s="3">
        <v>539</v>
      </c>
      <c r="U894" s="3">
        <v>31</v>
      </c>
      <c r="V894" t="s">
        <v>50</v>
      </c>
    </row>
    <row r="895" spans="1:22" x14ac:dyDescent="0.3">
      <c r="A895" t="s">
        <v>979</v>
      </c>
      <c r="B895" s="1">
        <v>46054</v>
      </c>
      <c r="C895" t="s">
        <v>95</v>
      </c>
      <c r="D895" t="s">
        <v>24</v>
      </c>
      <c r="E895" t="s">
        <v>25</v>
      </c>
      <c r="F895" t="s">
        <v>48</v>
      </c>
      <c r="G895" t="s">
        <v>49</v>
      </c>
      <c r="H895">
        <v>1</v>
      </c>
      <c r="I895" s="3">
        <v>349</v>
      </c>
      <c r="J895" s="4">
        <v>10</v>
      </c>
      <c r="K895" s="3">
        <v>314</v>
      </c>
      <c r="L895" s="3">
        <v>314</v>
      </c>
      <c r="M895" t="s">
        <v>28</v>
      </c>
      <c r="N895" t="s">
        <v>37</v>
      </c>
      <c r="O895" s="3">
        <v>65</v>
      </c>
      <c r="P895" t="s">
        <v>30</v>
      </c>
      <c r="Q895" s="3">
        <v>23.78</v>
      </c>
      <c r="R895" s="3">
        <v>145.94999999999999</v>
      </c>
      <c r="S895" s="3">
        <v>79.27</v>
      </c>
      <c r="T895" s="3">
        <v>314</v>
      </c>
      <c r="U895" s="3">
        <v>5</v>
      </c>
      <c r="V895" t="s">
        <v>96</v>
      </c>
    </row>
    <row r="896" spans="1:22" x14ac:dyDescent="0.3">
      <c r="A896" t="s">
        <v>980</v>
      </c>
      <c r="B896" s="1">
        <v>46180</v>
      </c>
      <c r="C896" t="s">
        <v>78</v>
      </c>
      <c r="D896" t="s">
        <v>115</v>
      </c>
      <c r="E896" t="s">
        <v>116</v>
      </c>
      <c r="F896" t="s">
        <v>109</v>
      </c>
      <c r="G896" t="s">
        <v>110</v>
      </c>
      <c r="H896">
        <v>1</v>
      </c>
      <c r="I896" s="3">
        <v>249</v>
      </c>
      <c r="J896" s="4">
        <v>35</v>
      </c>
      <c r="K896" s="3">
        <v>162</v>
      </c>
      <c r="L896" s="3">
        <v>162</v>
      </c>
      <c r="M896" t="s">
        <v>64</v>
      </c>
      <c r="N896" t="s">
        <v>37</v>
      </c>
      <c r="O896" s="3">
        <v>65</v>
      </c>
      <c r="P896" t="s">
        <v>30</v>
      </c>
      <c r="Q896" s="3">
        <v>7.97</v>
      </c>
      <c r="R896" s="3">
        <v>77.13</v>
      </c>
      <c r="S896" s="3">
        <v>11.9</v>
      </c>
      <c r="T896" s="3">
        <v>162</v>
      </c>
      <c r="U896" s="3">
        <v>23</v>
      </c>
      <c r="V896" t="s">
        <v>81</v>
      </c>
    </row>
    <row r="897" spans="1:22" x14ac:dyDescent="0.3">
      <c r="A897" t="s">
        <v>981</v>
      </c>
      <c r="B897" s="1">
        <v>46166</v>
      </c>
      <c r="C897" t="s">
        <v>62</v>
      </c>
      <c r="D897" t="s">
        <v>40</v>
      </c>
      <c r="E897" t="s">
        <v>41</v>
      </c>
      <c r="F897" t="s">
        <v>84</v>
      </c>
      <c r="G897" t="s">
        <v>84</v>
      </c>
      <c r="H897">
        <v>1</v>
      </c>
      <c r="I897" s="3">
        <v>449</v>
      </c>
      <c r="J897" s="4">
        <v>15</v>
      </c>
      <c r="K897" s="3">
        <v>382</v>
      </c>
      <c r="L897" s="3">
        <v>382</v>
      </c>
      <c r="M897" t="s">
        <v>28</v>
      </c>
      <c r="N897" t="s">
        <v>29</v>
      </c>
      <c r="O897" s="3">
        <v>35</v>
      </c>
      <c r="P897" t="s">
        <v>30</v>
      </c>
      <c r="Q897" s="3">
        <v>19.059999999999999</v>
      </c>
      <c r="R897" s="3">
        <v>191.28</v>
      </c>
      <c r="S897" s="3">
        <v>136.66</v>
      </c>
      <c r="T897" s="3">
        <v>382</v>
      </c>
      <c r="U897" s="3">
        <v>21</v>
      </c>
      <c r="V897" t="s">
        <v>65</v>
      </c>
    </row>
    <row r="898" spans="1:22" x14ac:dyDescent="0.3">
      <c r="A898" t="s">
        <v>982</v>
      </c>
      <c r="B898" s="1">
        <v>46041</v>
      </c>
      <c r="C898" t="s">
        <v>52</v>
      </c>
      <c r="D898" t="s">
        <v>53</v>
      </c>
      <c r="E898" t="s">
        <v>54</v>
      </c>
      <c r="F898" t="s">
        <v>79</v>
      </c>
      <c r="G898" t="s">
        <v>80</v>
      </c>
      <c r="H898">
        <v>3</v>
      </c>
      <c r="I898" s="3">
        <v>499</v>
      </c>
      <c r="J898" s="4">
        <v>35</v>
      </c>
      <c r="K898" s="3">
        <v>324</v>
      </c>
      <c r="L898" s="3">
        <v>972</v>
      </c>
      <c r="M898" t="s">
        <v>69</v>
      </c>
      <c r="N898" t="s">
        <v>29</v>
      </c>
      <c r="O898" s="3">
        <v>35</v>
      </c>
      <c r="P898" t="s">
        <v>70</v>
      </c>
      <c r="Q898" s="3">
        <v>58.12</v>
      </c>
      <c r="R898" s="3">
        <v>480.39</v>
      </c>
      <c r="S898" s="3">
        <v>398.49</v>
      </c>
      <c r="T898" s="3">
        <v>324</v>
      </c>
      <c r="U898" s="3">
        <v>4</v>
      </c>
      <c r="V898" t="s">
        <v>57</v>
      </c>
    </row>
    <row r="899" spans="1:22" x14ac:dyDescent="0.3">
      <c r="A899" t="s">
        <v>983</v>
      </c>
      <c r="B899" s="1">
        <v>46040</v>
      </c>
      <c r="C899" t="s">
        <v>52</v>
      </c>
      <c r="D899" t="s">
        <v>24</v>
      </c>
      <c r="E899" t="s">
        <v>25</v>
      </c>
      <c r="F899" t="s">
        <v>109</v>
      </c>
      <c r="G899" t="s">
        <v>110</v>
      </c>
      <c r="H899">
        <v>3</v>
      </c>
      <c r="I899" s="3">
        <v>349</v>
      </c>
      <c r="J899" s="4">
        <v>25</v>
      </c>
      <c r="K899" s="3">
        <v>262</v>
      </c>
      <c r="L899" s="3">
        <v>786</v>
      </c>
      <c r="M899" t="s">
        <v>28</v>
      </c>
      <c r="N899" t="s">
        <v>29</v>
      </c>
      <c r="O899" s="3">
        <v>55</v>
      </c>
      <c r="P899" t="s">
        <v>30</v>
      </c>
      <c r="Q899" s="3">
        <v>54.72</v>
      </c>
      <c r="R899" s="3">
        <v>354.7</v>
      </c>
      <c r="S899" s="3">
        <v>321.58</v>
      </c>
      <c r="T899" s="3">
        <v>262</v>
      </c>
      <c r="U899" s="3">
        <v>3</v>
      </c>
      <c r="V899" t="s">
        <v>57</v>
      </c>
    </row>
    <row r="900" spans="1:22" x14ac:dyDescent="0.3">
      <c r="A900" t="s">
        <v>984</v>
      </c>
      <c r="B900" s="1">
        <v>46279</v>
      </c>
      <c r="C900" t="s">
        <v>86</v>
      </c>
      <c r="D900" t="s">
        <v>112</v>
      </c>
      <c r="E900" t="s">
        <v>47</v>
      </c>
      <c r="F900" t="s">
        <v>48</v>
      </c>
      <c r="G900" t="s">
        <v>49</v>
      </c>
      <c r="H900">
        <v>2</v>
      </c>
      <c r="I900" s="3">
        <v>299</v>
      </c>
      <c r="J900" s="4">
        <v>40</v>
      </c>
      <c r="K900" s="3">
        <v>179</v>
      </c>
      <c r="L900" s="3">
        <v>358</v>
      </c>
      <c r="M900" t="s">
        <v>76</v>
      </c>
      <c r="N900" t="s">
        <v>37</v>
      </c>
      <c r="O900" s="3">
        <v>55</v>
      </c>
      <c r="P900" t="s">
        <v>30</v>
      </c>
      <c r="Q900" s="3">
        <v>23.7</v>
      </c>
      <c r="R900" s="3">
        <v>160.5</v>
      </c>
      <c r="S900" s="3">
        <v>118.8</v>
      </c>
      <c r="T900" s="3">
        <v>179</v>
      </c>
      <c r="U900" s="3">
        <v>38</v>
      </c>
      <c r="V900" t="s">
        <v>87</v>
      </c>
    </row>
    <row r="901" spans="1:22" x14ac:dyDescent="0.3">
      <c r="A901" t="s">
        <v>985</v>
      </c>
      <c r="B901" s="1">
        <v>46100</v>
      </c>
      <c r="C901" t="s">
        <v>39</v>
      </c>
      <c r="D901" t="s">
        <v>33</v>
      </c>
      <c r="E901" t="s">
        <v>34</v>
      </c>
      <c r="F901" t="s">
        <v>68</v>
      </c>
      <c r="G901" t="s">
        <v>27</v>
      </c>
      <c r="H901">
        <v>2</v>
      </c>
      <c r="I901" s="3">
        <v>599</v>
      </c>
      <c r="J901" s="4">
        <v>5</v>
      </c>
      <c r="K901" s="3">
        <v>569</v>
      </c>
      <c r="L901" s="3">
        <v>1138</v>
      </c>
      <c r="M901" t="s">
        <v>28</v>
      </c>
      <c r="N901" t="s">
        <v>37</v>
      </c>
      <c r="O901" s="3">
        <v>65</v>
      </c>
      <c r="P901" t="s">
        <v>30</v>
      </c>
      <c r="Q901" s="3">
        <v>73.22</v>
      </c>
      <c r="R901" s="3">
        <v>588.45000000000005</v>
      </c>
      <c r="S901" s="3">
        <v>411.33</v>
      </c>
      <c r="T901" s="3">
        <v>569</v>
      </c>
      <c r="U901" s="3">
        <v>12</v>
      </c>
      <c r="V901" t="s">
        <v>43</v>
      </c>
    </row>
    <row r="902" spans="1:22" x14ac:dyDescent="0.3">
      <c r="A902" t="s">
        <v>986</v>
      </c>
      <c r="B902" s="1">
        <v>46197</v>
      </c>
      <c r="C902" t="s">
        <v>78</v>
      </c>
      <c r="D902" t="s">
        <v>112</v>
      </c>
      <c r="E902" t="s">
        <v>47</v>
      </c>
      <c r="F902" t="s">
        <v>100</v>
      </c>
      <c r="G902" t="s">
        <v>101</v>
      </c>
      <c r="H902">
        <v>1</v>
      </c>
      <c r="I902" s="3">
        <v>299</v>
      </c>
      <c r="J902" s="4">
        <v>25</v>
      </c>
      <c r="K902" s="3">
        <v>224</v>
      </c>
      <c r="L902" s="3">
        <v>224</v>
      </c>
      <c r="M902" t="s">
        <v>76</v>
      </c>
      <c r="N902" t="s">
        <v>29</v>
      </c>
      <c r="O902" s="3">
        <v>55</v>
      </c>
      <c r="P902" t="s">
        <v>30</v>
      </c>
      <c r="Q902" s="3">
        <v>11.54</v>
      </c>
      <c r="R902" s="3">
        <v>96.77</v>
      </c>
      <c r="S902" s="3">
        <v>60.69</v>
      </c>
      <c r="T902" s="3">
        <v>224</v>
      </c>
      <c r="U902" s="3">
        <v>26</v>
      </c>
      <c r="V902" t="s">
        <v>81</v>
      </c>
    </row>
    <row r="903" spans="1:22" x14ac:dyDescent="0.3">
      <c r="A903" t="s">
        <v>987</v>
      </c>
      <c r="B903" s="1">
        <v>46216</v>
      </c>
      <c r="C903" t="s">
        <v>45</v>
      </c>
      <c r="D903" t="s">
        <v>74</v>
      </c>
      <c r="E903" t="s">
        <v>75</v>
      </c>
      <c r="F903" t="s">
        <v>68</v>
      </c>
      <c r="G903" t="s">
        <v>27</v>
      </c>
      <c r="H903">
        <v>1</v>
      </c>
      <c r="I903" s="3">
        <v>549</v>
      </c>
      <c r="J903" s="4">
        <v>40</v>
      </c>
      <c r="K903" s="3">
        <v>329</v>
      </c>
      <c r="L903" s="3">
        <v>329</v>
      </c>
      <c r="M903" t="s">
        <v>28</v>
      </c>
      <c r="N903" t="s">
        <v>37</v>
      </c>
      <c r="O903" s="3">
        <v>55</v>
      </c>
      <c r="P903" t="s">
        <v>30</v>
      </c>
      <c r="Q903" s="3">
        <v>17.18</v>
      </c>
      <c r="R903" s="3">
        <v>163.88</v>
      </c>
      <c r="S903" s="3">
        <v>92.94</v>
      </c>
      <c r="T903" s="3">
        <v>329</v>
      </c>
      <c r="U903" s="3">
        <v>29</v>
      </c>
      <c r="V903" t="s">
        <v>50</v>
      </c>
    </row>
    <row r="904" spans="1:22" x14ac:dyDescent="0.3">
      <c r="A904" t="s">
        <v>988</v>
      </c>
      <c r="B904" s="1">
        <v>46135</v>
      </c>
      <c r="C904" t="s">
        <v>23</v>
      </c>
      <c r="D904" t="s">
        <v>33</v>
      </c>
      <c r="E904" t="s">
        <v>34</v>
      </c>
      <c r="F904" t="s">
        <v>84</v>
      </c>
      <c r="G904" t="s">
        <v>84</v>
      </c>
      <c r="H904">
        <v>1</v>
      </c>
      <c r="I904" s="3">
        <v>599</v>
      </c>
      <c r="J904" s="4">
        <v>15</v>
      </c>
      <c r="K904" s="3">
        <v>509</v>
      </c>
      <c r="L904" s="3">
        <v>509</v>
      </c>
      <c r="M904" t="s">
        <v>102</v>
      </c>
      <c r="N904" t="s">
        <v>29</v>
      </c>
      <c r="O904" s="3">
        <v>65</v>
      </c>
      <c r="P904" t="s">
        <v>30</v>
      </c>
      <c r="Q904" s="3">
        <v>36.549999999999997</v>
      </c>
      <c r="R904" s="3">
        <v>223.01</v>
      </c>
      <c r="S904" s="3">
        <v>184.44</v>
      </c>
      <c r="T904" s="3">
        <v>509</v>
      </c>
      <c r="U904" s="3">
        <v>17</v>
      </c>
      <c r="V904" t="s">
        <v>31</v>
      </c>
    </row>
    <row r="905" spans="1:22" x14ac:dyDescent="0.3">
      <c r="A905" t="s">
        <v>989</v>
      </c>
      <c r="B905" s="1">
        <v>46136</v>
      </c>
      <c r="C905" t="s">
        <v>23</v>
      </c>
      <c r="D905" t="s">
        <v>130</v>
      </c>
      <c r="E905" t="s">
        <v>54</v>
      </c>
      <c r="F905" t="s">
        <v>109</v>
      </c>
      <c r="G905" t="s">
        <v>110</v>
      </c>
      <c r="H905">
        <v>1</v>
      </c>
      <c r="I905" s="3">
        <v>699</v>
      </c>
      <c r="J905" s="4">
        <v>30</v>
      </c>
      <c r="K905" s="3">
        <v>489</v>
      </c>
      <c r="L905" s="3">
        <v>489</v>
      </c>
      <c r="M905" t="s">
        <v>69</v>
      </c>
      <c r="N905" t="s">
        <v>29</v>
      </c>
      <c r="O905" s="3">
        <v>45</v>
      </c>
      <c r="P905" t="s">
        <v>70</v>
      </c>
      <c r="Q905" s="3">
        <v>29.17</v>
      </c>
      <c r="R905" s="3">
        <v>240.68</v>
      </c>
      <c r="S905" s="3">
        <v>174.15</v>
      </c>
      <c r="T905" s="3">
        <v>489</v>
      </c>
      <c r="U905" s="3">
        <v>17</v>
      </c>
      <c r="V905" t="s">
        <v>31</v>
      </c>
    </row>
    <row r="906" spans="1:22" x14ac:dyDescent="0.3">
      <c r="A906" t="s">
        <v>990</v>
      </c>
      <c r="B906" s="1">
        <v>46244</v>
      </c>
      <c r="C906" t="s">
        <v>67</v>
      </c>
      <c r="D906" t="s">
        <v>115</v>
      </c>
      <c r="E906" t="s">
        <v>116</v>
      </c>
      <c r="F906" t="s">
        <v>109</v>
      </c>
      <c r="G906" t="s">
        <v>110</v>
      </c>
      <c r="H906">
        <v>1</v>
      </c>
      <c r="I906" s="3">
        <v>249</v>
      </c>
      <c r="J906" s="4">
        <v>25</v>
      </c>
      <c r="K906" s="3">
        <v>187</v>
      </c>
      <c r="L906" s="3">
        <v>187</v>
      </c>
      <c r="M906" t="s">
        <v>28</v>
      </c>
      <c r="N906" t="s">
        <v>37</v>
      </c>
      <c r="O906" s="3">
        <v>55</v>
      </c>
      <c r="P906" t="s">
        <v>30</v>
      </c>
      <c r="Q906" s="3">
        <v>12.11</v>
      </c>
      <c r="R906" s="3">
        <v>90.71</v>
      </c>
      <c r="S906" s="3">
        <v>29.18</v>
      </c>
      <c r="T906" s="3">
        <v>187</v>
      </c>
      <c r="U906" s="3">
        <v>33</v>
      </c>
      <c r="V906" t="s">
        <v>71</v>
      </c>
    </row>
    <row r="907" spans="1:22" x14ac:dyDescent="0.3">
      <c r="A907" t="s">
        <v>991</v>
      </c>
      <c r="B907" s="1">
        <v>46188</v>
      </c>
      <c r="C907" t="s">
        <v>78</v>
      </c>
      <c r="D907" t="s">
        <v>74</v>
      </c>
      <c r="E907" t="s">
        <v>75</v>
      </c>
      <c r="F907" t="s">
        <v>55</v>
      </c>
      <c r="G907" t="s">
        <v>56</v>
      </c>
      <c r="H907">
        <v>1</v>
      </c>
      <c r="I907" s="3">
        <v>549</v>
      </c>
      <c r="J907" s="4">
        <v>35</v>
      </c>
      <c r="K907" s="3">
        <v>357</v>
      </c>
      <c r="L907" s="3">
        <v>357</v>
      </c>
      <c r="M907" t="s">
        <v>69</v>
      </c>
      <c r="N907" t="s">
        <v>37</v>
      </c>
      <c r="O907" s="3">
        <v>35</v>
      </c>
      <c r="P907" t="s">
        <v>70</v>
      </c>
      <c r="Q907" s="3">
        <v>24.71</v>
      </c>
      <c r="R907" s="3">
        <v>151.38</v>
      </c>
      <c r="S907" s="3">
        <v>145.91</v>
      </c>
      <c r="T907" s="3">
        <v>357</v>
      </c>
      <c r="U907" s="3">
        <v>25</v>
      </c>
      <c r="V907" t="s">
        <v>81</v>
      </c>
    </row>
    <row r="908" spans="1:22" x14ac:dyDescent="0.3">
      <c r="A908" t="s">
        <v>992</v>
      </c>
      <c r="B908" s="1">
        <v>46154</v>
      </c>
      <c r="C908" t="s">
        <v>62</v>
      </c>
      <c r="D908" t="s">
        <v>115</v>
      </c>
      <c r="E908" t="s">
        <v>116</v>
      </c>
      <c r="F908" t="s">
        <v>48</v>
      </c>
      <c r="G908" t="s">
        <v>49</v>
      </c>
      <c r="H908">
        <v>1</v>
      </c>
      <c r="I908" s="3">
        <v>249</v>
      </c>
      <c r="J908" s="4">
        <v>15</v>
      </c>
      <c r="K908" s="3">
        <v>212</v>
      </c>
      <c r="L908" s="3">
        <v>212</v>
      </c>
      <c r="M908" t="s">
        <v>28</v>
      </c>
      <c r="N908" t="s">
        <v>29</v>
      </c>
      <c r="O908" s="3">
        <v>65</v>
      </c>
      <c r="P908" t="s">
        <v>30</v>
      </c>
      <c r="Q908" s="3">
        <v>9.75</v>
      </c>
      <c r="R908" s="3">
        <v>94.15</v>
      </c>
      <c r="S908" s="3">
        <v>43.1</v>
      </c>
      <c r="T908" s="3">
        <v>212</v>
      </c>
      <c r="U908" s="3">
        <v>20</v>
      </c>
      <c r="V908" t="s">
        <v>65</v>
      </c>
    </row>
    <row r="909" spans="1:22" x14ac:dyDescent="0.3">
      <c r="A909" t="s">
        <v>993</v>
      </c>
      <c r="B909" s="1">
        <v>46286</v>
      </c>
      <c r="C909" t="s">
        <v>86</v>
      </c>
      <c r="D909" t="s">
        <v>24</v>
      </c>
      <c r="E909" t="s">
        <v>25</v>
      </c>
      <c r="F909" t="s">
        <v>68</v>
      </c>
      <c r="G909" t="s">
        <v>27</v>
      </c>
      <c r="H909">
        <v>1</v>
      </c>
      <c r="I909" s="3">
        <v>349</v>
      </c>
      <c r="J909" s="4">
        <v>10</v>
      </c>
      <c r="K909" s="3">
        <v>314</v>
      </c>
      <c r="L909" s="3">
        <v>314</v>
      </c>
      <c r="M909" t="s">
        <v>76</v>
      </c>
      <c r="N909" t="s">
        <v>37</v>
      </c>
      <c r="O909" s="3">
        <v>45</v>
      </c>
      <c r="P909" t="s">
        <v>30</v>
      </c>
      <c r="Q909" s="3">
        <v>15.16</v>
      </c>
      <c r="R909" s="3">
        <v>143.74</v>
      </c>
      <c r="S909" s="3">
        <v>110.1</v>
      </c>
      <c r="T909" s="3">
        <v>314</v>
      </c>
      <c r="U909" s="3">
        <v>39</v>
      </c>
      <c r="V909" t="s">
        <v>87</v>
      </c>
    </row>
    <row r="910" spans="1:22" x14ac:dyDescent="0.3">
      <c r="A910" t="s">
        <v>994</v>
      </c>
      <c r="B910" s="1">
        <v>46077</v>
      </c>
      <c r="C910" t="s">
        <v>95</v>
      </c>
      <c r="D910" t="s">
        <v>40</v>
      </c>
      <c r="E910" t="s">
        <v>41</v>
      </c>
      <c r="F910" t="s">
        <v>79</v>
      </c>
      <c r="G910" t="s">
        <v>80</v>
      </c>
      <c r="H910">
        <v>1</v>
      </c>
      <c r="I910" s="3">
        <v>449</v>
      </c>
      <c r="J910" s="4">
        <v>25</v>
      </c>
      <c r="K910" s="3">
        <v>337</v>
      </c>
      <c r="L910" s="3">
        <v>337</v>
      </c>
      <c r="M910" t="s">
        <v>28</v>
      </c>
      <c r="N910" t="s">
        <v>29</v>
      </c>
      <c r="O910" s="3">
        <v>35</v>
      </c>
      <c r="P910" t="s">
        <v>30</v>
      </c>
      <c r="Q910" s="3">
        <v>26.11</v>
      </c>
      <c r="R910" s="3">
        <v>154.25</v>
      </c>
      <c r="S910" s="3">
        <v>121.64</v>
      </c>
      <c r="T910" s="3">
        <v>337</v>
      </c>
      <c r="U910" s="3">
        <v>9</v>
      </c>
      <c r="V910" t="s">
        <v>96</v>
      </c>
    </row>
    <row r="911" spans="1:22" x14ac:dyDescent="0.3">
      <c r="A911" t="s">
        <v>995</v>
      </c>
      <c r="B911" s="1">
        <v>46153</v>
      </c>
      <c r="C911" t="s">
        <v>62</v>
      </c>
      <c r="D911" t="s">
        <v>93</v>
      </c>
      <c r="E911" t="s">
        <v>47</v>
      </c>
      <c r="F911" t="s">
        <v>42</v>
      </c>
      <c r="G911" t="s">
        <v>27</v>
      </c>
      <c r="H911">
        <v>1</v>
      </c>
      <c r="I911" s="3">
        <v>699</v>
      </c>
      <c r="J911" s="4">
        <v>15</v>
      </c>
      <c r="K911" s="3">
        <v>594</v>
      </c>
      <c r="L911" s="3">
        <v>594</v>
      </c>
      <c r="M911" t="s">
        <v>28</v>
      </c>
      <c r="N911" t="s">
        <v>29</v>
      </c>
      <c r="O911" s="3">
        <v>65</v>
      </c>
      <c r="P911" t="s">
        <v>30</v>
      </c>
      <c r="Q911" s="3">
        <v>47.07</v>
      </c>
      <c r="R911" s="3">
        <v>304.52</v>
      </c>
      <c r="S911" s="3">
        <v>177.41</v>
      </c>
      <c r="T911" s="3">
        <v>594</v>
      </c>
      <c r="U911" s="3">
        <v>20</v>
      </c>
      <c r="V911" t="s">
        <v>65</v>
      </c>
    </row>
    <row r="912" spans="1:22" x14ac:dyDescent="0.3">
      <c r="A912" t="s">
        <v>996</v>
      </c>
      <c r="B912" s="1">
        <v>46288</v>
      </c>
      <c r="C912" t="s">
        <v>86</v>
      </c>
      <c r="D912" t="s">
        <v>59</v>
      </c>
      <c r="E912" t="s">
        <v>60</v>
      </c>
      <c r="F912" t="s">
        <v>42</v>
      </c>
      <c r="G912" t="s">
        <v>27</v>
      </c>
      <c r="H912">
        <v>1</v>
      </c>
      <c r="I912" s="3">
        <v>299</v>
      </c>
      <c r="J912" s="4">
        <v>10</v>
      </c>
      <c r="K912" s="3">
        <v>269</v>
      </c>
      <c r="L912" s="3">
        <v>269</v>
      </c>
      <c r="M912" t="s">
        <v>76</v>
      </c>
      <c r="N912" t="s">
        <v>29</v>
      </c>
      <c r="O912" s="3">
        <v>55</v>
      </c>
      <c r="P912" t="s">
        <v>30</v>
      </c>
      <c r="Q912" s="3">
        <v>13.94</v>
      </c>
      <c r="R912" s="3">
        <v>132.71</v>
      </c>
      <c r="S912" s="3">
        <v>67.349999999999994</v>
      </c>
      <c r="T912" s="3">
        <v>269</v>
      </c>
      <c r="U912" s="3">
        <v>39</v>
      </c>
      <c r="V912" t="s">
        <v>87</v>
      </c>
    </row>
    <row r="913" spans="1:22" x14ac:dyDescent="0.3">
      <c r="A913" t="s">
        <v>997</v>
      </c>
      <c r="B913" s="1">
        <v>46184</v>
      </c>
      <c r="C913" t="s">
        <v>78</v>
      </c>
      <c r="D913" t="s">
        <v>112</v>
      </c>
      <c r="E913" t="s">
        <v>47</v>
      </c>
      <c r="F913" t="s">
        <v>26</v>
      </c>
      <c r="G913" t="s">
        <v>27</v>
      </c>
      <c r="H913">
        <v>1</v>
      </c>
      <c r="I913" s="3">
        <v>299</v>
      </c>
      <c r="J913" s="4">
        <v>35</v>
      </c>
      <c r="K913" s="3">
        <v>194</v>
      </c>
      <c r="L913" s="3">
        <v>194</v>
      </c>
      <c r="M913" t="s">
        <v>28</v>
      </c>
      <c r="N913" t="s">
        <v>29</v>
      </c>
      <c r="O913" s="3">
        <v>55</v>
      </c>
      <c r="P913" t="s">
        <v>30</v>
      </c>
      <c r="Q913" s="3">
        <v>12.27</v>
      </c>
      <c r="R913" s="3">
        <v>100.4</v>
      </c>
      <c r="S913" s="3">
        <v>26.33</v>
      </c>
      <c r="T913" s="3">
        <v>194</v>
      </c>
      <c r="U913" s="3">
        <v>24</v>
      </c>
      <c r="V913" t="s">
        <v>81</v>
      </c>
    </row>
    <row r="914" spans="1:22" x14ac:dyDescent="0.3">
      <c r="A914" t="s">
        <v>998</v>
      </c>
      <c r="B914" s="1">
        <v>46109</v>
      </c>
      <c r="C914" t="s">
        <v>39</v>
      </c>
      <c r="D914" t="s">
        <v>33</v>
      </c>
      <c r="E914" t="s">
        <v>34</v>
      </c>
      <c r="F914" t="s">
        <v>109</v>
      </c>
      <c r="G914" t="s">
        <v>110</v>
      </c>
      <c r="H914">
        <v>1</v>
      </c>
      <c r="I914" s="3">
        <v>599</v>
      </c>
      <c r="J914" s="4">
        <v>15</v>
      </c>
      <c r="K914" s="3">
        <v>509</v>
      </c>
      <c r="L914" s="3">
        <v>509</v>
      </c>
      <c r="M914" t="s">
        <v>28</v>
      </c>
      <c r="N914" t="s">
        <v>37</v>
      </c>
      <c r="O914" s="3">
        <v>35</v>
      </c>
      <c r="P914" t="s">
        <v>30</v>
      </c>
      <c r="Q914" s="3">
        <v>32.380000000000003</v>
      </c>
      <c r="R914" s="3">
        <v>218.71</v>
      </c>
      <c r="S914" s="3">
        <v>222.91</v>
      </c>
      <c r="T914" s="3">
        <v>509</v>
      </c>
      <c r="U914" s="3">
        <v>13</v>
      </c>
      <c r="V914" t="s">
        <v>43</v>
      </c>
    </row>
    <row r="915" spans="1:22" x14ac:dyDescent="0.3">
      <c r="A915" t="s">
        <v>999</v>
      </c>
      <c r="B915" s="1">
        <v>46077</v>
      </c>
      <c r="C915" t="s">
        <v>95</v>
      </c>
      <c r="D915" t="s">
        <v>33</v>
      </c>
      <c r="E915" t="s">
        <v>34</v>
      </c>
      <c r="F915" t="s">
        <v>100</v>
      </c>
      <c r="G915" t="s">
        <v>101</v>
      </c>
      <c r="H915">
        <v>1</v>
      </c>
      <c r="I915" s="3">
        <v>599</v>
      </c>
      <c r="J915" s="4">
        <v>5</v>
      </c>
      <c r="K915" s="3">
        <v>569</v>
      </c>
      <c r="L915" s="3">
        <v>569</v>
      </c>
      <c r="M915" t="s">
        <v>28</v>
      </c>
      <c r="N915" t="s">
        <v>37</v>
      </c>
      <c r="O915" s="3">
        <v>45</v>
      </c>
      <c r="P915" t="s">
        <v>30</v>
      </c>
      <c r="Q915" s="3">
        <v>38.18</v>
      </c>
      <c r="R915" s="3">
        <v>240.37</v>
      </c>
      <c r="S915" s="3">
        <v>245.45</v>
      </c>
      <c r="T915" s="3">
        <v>569</v>
      </c>
      <c r="U915" s="3">
        <v>9</v>
      </c>
      <c r="V915" t="s">
        <v>96</v>
      </c>
    </row>
    <row r="916" spans="1:22" x14ac:dyDescent="0.3">
      <c r="A916" t="s">
        <v>1000</v>
      </c>
      <c r="B916" s="1">
        <v>46200</v>
      </c>
      <c r="C916" t="s">
        <v>78</v>
      </c>
      <c r="D916" t="s">
        <v>112</v>
      </c>
      <c r="E916" t="s">
        <v>47</v>
      </c>
      <c r="F916" t="s">
        <v>100</v>
      </c>
      <c r="G916" t="s">
        <v>101</v>
      </c>
      <c r="H916">
        <v>1</v>
      </c>
      <c r="I916" s="3">
        <v>299</v>
      </c>
      <c r="J916" s="4">
        <v>25</v>
      </c>
      <c r="K916" s="3">
        <v>224</v>
      </c>
      <c r="L916" s="3">
        <v>224</v>
      </c>
      <c r="M916" t="s">
        <v>28</v>
      </c>
      <c r="N916" t="s">
        <v>29</v>
      </c>
      <c r="O916" s="3">
        <v>55</v>
      </c>
      <c r="P916" t="s">
        <v>30</v>
      </c>
      <c r="Q916" s="3">
        <v>16.11</v>
      </c>
      <c r="R916" s="3">
        <v>114.72</v>
      </c>
      <c r="S916" s="3">
        <v>38.17</v>
      </c>
      <c r="T916" s="3">
        <v>224</v>
      </c>
      <c r="U916" s="3">
        <v>26</v>
      </c>
      <c r="V916" t="s">
        <v>81</v>
      </c>
    </row>
    <row r="917" spans="1:22" x14ac:dyDescent="0.3">
      <c r="A917" t="s">
        <v>1001</v>
      </c>
      <c r="B917" s="1">
        <v>46030</v>
      </c>
      <c r="C917" t="s">
        <v>52</v>
      </c>
      <c r="D917" t="s">
        <v>46</v>
      </c>
      <c r="E917" t="s">
        <v>47</v>
      </c>
      <c r="F917" t="s">
        <v>68</v>
      </c>
      <c r="G917" t="s">
        <v>27</v>
      </c>
      <c r="H917">
        <v>1</v>
      </c>
      <c r="I917" s="3">
        <v>899</v>
      </c>
      <c r="J917" s="4">
        <v>20</v>
      </c>
      <c r="K917" s="3">
        <v>719</v>
      </c>
      <c r="L917" s="3">
        <v>719</v>
      </c>
      <c r="M917" t="s">
        <v>64</v>
      </c>
      <c r="N917" t="s">
        <v>37</v>
      </c>
      <c r="O917" s="3">
        <v>65</v>
      </c>
      <c r="P917" t="s">
        <v>30</v>
      </c>
      <c r="Q917" s="3">
        <v>33.96</v>
      </c>
      <c r="R917" s="3">
        <v>311.33</v>
      </c>
      <c r="S917" s="3">
        <v>308.70999999999998</v>
      </c>
      <c r="T917" s="3">
        <v>719</v>
      </c>
      <c r="U917" s="3">
        <v>2</v>
      </c>
      <c r="V917" t="s">
        <v>57</v>
      </c>
    </row>
    <row r="918" spans="1:22" x14ac:dyDescent="0.3">
      <c r="A918" t="s">
        <v>1002</v>
      </c>
      <c r="B918" s="1">
        <v>46269</v>
      </c>
      <c r="C918" t="s">
        <v>86</v>
      </c>
      <c r="D918" t="s">
        <v>63</v>
      </c>
      <c r="E918" t="s">
        <v>47</v>
      </c>
      <c r="F918" t="s">
        <v>79</v>
      </c>
      <c r="G918" t="s">
        <v>80</v>
      </c>
      <c r="H918">
        <v>1</v>
      </c>
      <c r="I918" s="3">
        <v>399</v>
      </c>
      <c r="J918" s="4">
        <v>20</v>
      </c>
      <c r="K918" s="3">
        <v>319</v>
      </c>
      <c r="L918" s="3">
        <v>319</v>
      </c>
      <c r="M918" t="s">
        <v>102</v>
      </c>
      <c r="N918" t="s">
        <v>29</v>
      </c>
      <c r="O918" s="3">
        <v>55</v>
      </c>
      <c r="P918" t="s">
        <v>30</v>
      </c>
      <c r="Q918" s="3">
        <v>23.18</v>
      </c>
      <c r="R918" s="3">
        <v>134.41999999999999</v>
      </c>
      <c r="S918" s="3">
        <v>106.4</v>
      </c>
      <c r="T918" s="3">
        <v>319</v>
      </c>
      <c r="U918" s="3">
        <v>36</v>
      </c>
      <c r="V918" t="s">
        <v>87</v>
      </c>
    </row>
    <row r="919" spans="1:22" x14ac:dyDescent="0.3">
      <c r="A919" t="s">
        <v>1003</v>
      </c>
      <c r="B919" s="1">
        <v>46277</v>
      </c>
      <c r="C919" t="s">
        <v>86</v>
      </c>
      <c r="D919" t="s">
        <v>130</v>
      </c>
      <c r="E919" t="s">
        <v>54</v>
      </c>
      <c r="F919" t="s">
        <v>100</v>
      </c>
      <c r="G919" t="s">
        <v>101</v>
      </c>
      <c r="H919">
        <v>1</v>
      </c>
      <c r="I919" s="3">
        <v>699</v>
      </c>
      <c r="J919" s="4">
        <v>25</v>
      </c>
      <c r="K919" s="3">
        <v>524</v>
      </c>
      <c r="L919" s="3">
        <v>524</v>
      </c>
      <c r="M919" t="s">
        <v>28</v>
      </c>
      <c r="N919" t="s">
        <v>29</v>
      </c>
      <c r="O919" s="3">
        <v>45</v>
      </c>
      <c r="P919" t="s">
        <v>30</v>
      </c>
      <c r="Q919" s="3">
        <v>31.33</v>
      </c>
      <c r="R919" s="3">
        <v>227.09</v>
      </c>
      <c r="S919" s="3">
        <v>220.58</v>
      </c>
      <c r="T919" s="3">
        <v>524</v>
      </c>
      <c r="U919" s="3">
        <v>37</v>
      </c>
      <c r="V919" t="s">
        <v>87</v>
      </c>
    </row>
    <row r="920" spans="1:22" x14ac:dyDescent="0.3">
      <c r="A920" t="s">
        <v>1004</v>
      </c>
      <c r="B920" s="1">
        <v>46076</v>
      </c>
      <c r="C920" t="s">
        <v>95</v>
      </c>
      <c r="D920" t="s">
        <v>130</v>
      </c>
      <c r="E920" t="s">
        <v>54</v>
      </c>
      <c r="F920" t="s">
        <v>68</v>
      </c>
      <c r="G920" t="s">
        <v>27</v>
      </c>
      <c r="H920">
        <v>1</v>
      </c>
      <c r="I920" s="3">
        <v>699</v>
      </c>
      <c r="J920" s="4">
        <v>20</v>
      </c>
      <c r="K920" s="3">
        <v>559</v>
      </c>
      <c r="L920" s="3">
        <v>559</v>
      </c>
      <c r="M920" t="s">
        <v>28</v>
      </c>
      <c r="N920" t="s">
        <v>37</v>
      </c>
      <c r="O920" s="3">
        <v>35</v>
      </c>
      <c r="P920" t="s">
        <v>30</v>
      </c>
      <c r="Q920" s="3">
        <v>26.37</v>
      </c>
      <c r="R920" s="3">
        <v>247.4</v>
      </c>
      <c r="S920" s="3">
        <v>250.23</v>
      </c>
      <c r="T920" s="3">
        <v>559</v>
      </c>
      <c r="U920" s="3">
        <v>9</v>
      </c>
      <c r="V920" t="s">
        <v>96</v>
      </c>
    </row>
    <row r="921" spans="1:22" x14ac:dyDescent="0.3">
      <c r="A921" t="s">
        <v>1005</v>
      </c>
      <c r="B921" s="1">
        <v>46271</v>
      </c>
      <c r="C921" t="s">
        <v>86</v>
      </c>
      <c r="D921" t="s">
        <v>74</v>
      </c>
      <c r="E921" t="s">
        <v>75</v>
      </c>
      <c r="F921" t="s">
        <v>55</v>
      </c>
      <c r="G921" t="s">
        <v>56</v>
      </c>
      <c r="H921">
        <v>2</v>
      </c>
      <c r="I921" s="3">
        <v>549</v>
      </c>
      <c r="J921" s="4">
        <v>30</v>
      </c>
      <c r="K921" s="3">
        <v>384</v>
      </c>
      <c r="L921" s="3">
        <v>768</v>
      </c>
      <c r="M921" t="s">
        <v>28</v>
      </c>
      <c r="N921" t="s">
        <v>37</v>
      </c>
      <c r="O921" s="3">
        <v>35</v>
      </c>
      <c r="P921" t="s">
        <v>30</v>
      </c>
      <c r="Q921" s="3">
        <v>31.27</v>
      </c>
      <c r="R921" s="3">
        <v>328.28</v>
      </c>
      <c r="S921" s="3">
        <v>373.45</v>
      </c>
      <c r="T921" s="3">
        <v>384</v>
      </c>
      <c r="U921" s="3">
        <v>36</v>
      </c>
      <c r="V921" t="s">
        <v>87</v>
      </c>
    </row>
    <row r="922" spans="1:22" x14ac:dyDescent="0.3">
      <c r="A922" t="s">
        <v>1006</v>
      </c>
      <c r="B922" s="1">
        <v>46261</v>
      </c>
      <c r="C922" t="s">
        <v>67</v>
      </c>
      <c r="D922" t="s">
        <v>24</v>
      </c>
      <c r="E922" t="s">
        <v>25</v>
      </c>
      <c r="F922" t="s">
        <v>35</v>
      </c>
      <c r="G922" t="s">
        <v>36</v>
      </c>
      <c r="H922">
        <v>1</v>
      </c>
      <c r="I922" s="3">
        <v>349</v>
      </c>
      <c r="J922" s="4">
        <v>10</v>
      </c>
      <c r="K922" s="3">
        <v>314</v>
      </c>
      <c r="L922" s="3">
        <v>314</v>
      </c>
      <c r="M922" t="s">
        <v>28</v>
      </c>
      <c r="N922" t="s">
        <v>29</v>
      </c>
      <c r="O922" s="3">
        <v>35</v>
      </c>
      <c r="P922" t="s">
        <v>30</v>
      </c>
      <c r="Q922" s="3">
        <v>23.06</v>
      </c>
      <c r="R922" s="3">
        <v>157.94999999999999</v>
      </c>
      <c r="S922" s="3">
        <v>97.99</v>
      </c>
      <c r="T922" s="3">
        <v>314</v>
      </c>
      <c r="U922" s="3">
        <v>35</v>
      </c>
      <c r="V922" t="s">
        <v>71</v>
      </c>
    </row>
    <row r="923" spans="1:22" x14ac:dyDescent="0.3">
      <c r="A923" t="s">
        <v>1007</v>
      </c>
      <c r="B923" s="1">
        <v>46251</v>
      </c>
      <c r="C923" t="s">
        <v>67</v>
      </c>
      <c r="D923" t="s">
        <v>112</v>
      </c>
      <c r="E923" t="s">
        <v>47</v>
      </c>
      <c r="F923" t="s">
        <v>26</v>
      </c>
      <c r="G923" t="s">
        <v>27</v>
      </c>
      <c r="H923">
        <v>1</v>
      </c>
      <c r="I923" s="3">
        <v>299</v>
      </c>
      <c r="J923" s="4">
        <v>5</v>
      </c>
      <c r="K923" s="3">
        <v>284</v>
      </c>
      <c r="L923" s="3">
        <v>284</v>
      </c>
      <c r="M923" t="s">
        <v>28</v>
      </c>
      <c r="N923" t="s">
        <v>37</v>
      </c>
      <c r="O923" s="3">
        <v>45</v>
      </c>
      <c r="P923" t="s">
        <v>30</v>
      </c>
      <c r="Q923" s="3">
        <v>19.41</v>
      </c>
      <c r="R923" s="3">
        <v>125.38</v>
      </c>
      <c r="S923" s="3">
        <v>94.21</v>
      </c>
      <c r="T923" s="3">
        <v>284</v>
      </c>
      <c r="U923" s="3">
        <v>34</v>
      </c>
      <c r="V923" t="s">
        <v>71</v>
      </c>
    </row>
    <row r="924" spans="1:22" x14ac:dyDescent="0.3">
      <c r="A924" t="s">
        <v>1008</v>
      </c>
      <c r="B924" s="1">
        <v>46089</v>
      </c>
      <c r="C924" t="s">
        <v>39</v>
      </c>
      <c r="D924" t="s">
        <v>59</v>
      </c>
      <c r="E924" t="s">
        <v>60</v>
      </c>
      <c r="F924" t="s">
        <v>109</v>
      </c>
      <c r="G924" t="s">
        <v>110</v>
      </c>
      <c r="H924">
        <v>1</v>
      </c>
      <c r="I924" s="3">
        <v>299</v>
      </c>
      <c r="J924" s="4">
        <v>15</v>
      </c>
      <c r="K924" s="3">
        <v>254</v>
      </c>
      <c r="L924" s="3">
        <v>254</v>
      </c>
      <c r="M924" t="s">
        <v>28</v>
      </c>
      <c r="N924" t="s">
        <v>29</v>
      </c>
      <c r="O924" s="3">
        <v>55</v>
      </c>
      <c r="P924" t="s">
        <v>30</v>
      </c>
      <c r="Q924" s="3">
        <v>16.420000000000002</v>
      </c>
      <c r="R924" s="3">
        <v>131.72</v>
      </c>
      <c r="S924" s="3">
        <v>50.86</v>
      </c>
      <c r="T924" s="3">
        <v>254</v>
      </c>
      <c r="U924" s="3">
        <v>10</v>
      </c>
      <c r="V924" t="s">
        <v>43</v>
      </c>
    </row>
    <row r="925" spans="1:22" x14ac:dyDescent="0.3">
      <c r="A925" t="s">
        <v>1009</v>
      </c>
      <c r="B925" s="1">
        <v>46073</v>
      </c>
      <c r="C925" t="s">
        <v>95</v>
      </c>
      <c r="D925" t="s">
        <v>24</v>
      </c>
      <c r="E925" t="s">
        <v>25</v>
      </c>
      <c r="F925" t="s">
        <v>26</v>
      </c>
      <c r="G925" t="s">
        <v>27</v>
      </c>
      <c r="H925">
        <v>2</v>
      </c>
      <c r="I925" s="3">
        <v>349</v>
      </c>
      <c r="J925" s="4">
        <v>35</v>
      </c>
      <c r="K925" s="3">
        <v>227</v>
      </c>
      <c r="L925" s="3">
        <v>454</v>
      </c>
      <c r="M925" t="s">
        <v>28</v>
      </c>
      <c r="N925" t="s">
        <v>37</v>
      </c>
      <c r="O925" s="3">
        <v>35</v>
      </c>
      <c r="P925" t="s">
        <v>30</v>
      </c>
      <c r="Q925" s="3">
        <v>31.72</v>
      </c>
      <c r="R925" s="3">
        <v>229.62</v>
      </c>
      <c r="S925" s="3">
        <v>157.66</v>
      </c>
      <c r="T925" s="3">
        <v>227</v>
      </c>
      <c r="U925" s="3">
        <v>8</v>
      </c>
      <c r="V925" t="s">
        <v>96</v>
      </c>
    </row>
    <row r="926" spans="1:22" x14ac:dyDescent="0.3">
      <c r="A926" t="s">
        <v>1010</v>
      </c>
      <c r="B926" s="1">
        <v>46119</v>
      </c>
      <c r="C926" t="s">
        <v>23</v>
      </c>
      <c r="D926" t="s">
        <v>115</v>
      </c>
      <c r="E926" t="s">
        <v>116</v>
      </c>
      <c r="F926" t="s">
        <v>48</v>
      </c>
      <c r="G926" t="s">
        <v>49</v>
      </c>
      <c r="H926">
        <v>1</v>
      </c>
      <c r="I926" s="3">
        <v>249</v>
      </c>
      <c r="J926" s="4">
        <v>15</v>
      </c>
      <c r="K926" s="3">
        <v>212</v>
      </c>
      <c r="L926" s="3">
        <v>212</v>
      </c>
      <c r="M926" t="s">
        <v>28</v>
      </c>
      <c r="N926" t="s">
        <v>29</v>
      </c>
      <c r="O926" s="3">
        <v>45</v>
      </c>
      <c r="P926" t="s">
        <v>30</v>
      </c>
      <c r="Q926" s="3">
        <v>10.27</v>
      </c>
      <c r="R926" s="3">
        <v>103.3</v>
      </c>
      <c r="S926" s="3">
        <v>53.43</v>
      </c>
      <c r="T926" s="3">
        <v>212</v>
      </c>
      <c r="U926" s="3">
        <v>15</v>
      </c>
      <c r="V926" t="s">
        <v>31</v>
      </c>
    </row>
    <row r="927" spans="1:22" x14ac:dyDescent="0.3">
      <c r="A927" t="s">
        <v>1011</v>
      </c>
      <c r="B927" s="1">
        <v>46114</v>
      </c>
      <c r="C927" t="s">
        <v>23</v>
      </c>
      <c r="D927" t="s">
        <v>63</v>
      </c>
      <c r="E927" t="s">
        <v>47</v>
      </c>
      <c r="F927" t="s">
        <v>35</v>
      </c>
      <c r="G927" t="s">
        <v>36</v>
      </c>
      <c r="H927">
        <v>2</v>
      </c>
      <c r="I927" s="3">
        <v>399</v>
      </c>
      <c r="J927" s="4">
        <v>10</v>
      </c>
      <c r="K927" s="3">
        <v>359</v>
      </c>
      <c r="L927" s="3">
        <v>718</v>
      </c>
      <c r="M927" t="s">
        <v>28</v>
      </c>
      <c r="N927" t="s">
        <v>29</v>
      </c>
      <c r="O927" s="3">
        <v>35</v>
      </c>
      <c r="P927" t="s">
        <v>30</v>
      </c>
      <c r="Q927" s="3">
        <v>51.78</v>
      </c>
      <c r="R927" s="3">
        <v>332.56</v>
      </c>
      <c r="S927" s="3">
        <v>298.66000000000003</v>
      </c>
      <c r="T927" s="3">
        <v>359</v>
      </c>
      <c r="U927" s="3">
        <v>14</v>
      </c>
      <c r="V927" t="s">
        <v>31</v>
      </c>
    </row>
    <row r="928" spans="1:22" x14ac:dyDescent="0.3">
      <c r="A928" t="s">
        <v>1012</v>
      </c>
      <c r="B928" s="1">
        <v>46286</v>
      </c>
      <c r="C928" t="s">
        <v>86</v>
      </c>
      <c r="D928" t="s">
        <v>130</v>
      </c>
      <c r="E928" t="s">
        <v>54</v>
      </c>
      <c r="F928" t="s">
        <v>79</v>
      </c>
      <c r="G928" t="s">
        <v>80</v>
      </c>
      <c r="H928">
        <v>1</v>
      </c>
      <c r="I928" s="3">
        <v>699</v>
      </c>
      <c r="J928" s="4">
        <v>15</v>
      </c>
      <c r="K928" s="3">
        <v>594</v>
      </c>
      <c r="L928" s="3">
        <v>594</v>
      </c>
      <c r="M928" t="s">
        <v>28</v>
      </c>
      <c r="N928" t="s">
        <v>37</v>
      </c>
      <c r="O928" s="3">
        <v>45</v>
      </c>
      <c r="P928" t="s">
        <v>30</v>
      </c>
      <c r="Q928" s="3">
        <v>43.28</v>
      </c>
      <c r="R928" s="3">
        <v>282.42</v>
      </c>
      <c r="S928" s="3">
        <v>223.3</v>
      </c>
      <c r="T928" s="3">
        <v>594</v>
      </c>
      <c r="U928" s="3">
        <v>39</v>
      </c>
      <c r="V928" t="s">
        <v>87</v>
      </c>
    </row>
    <row r="929" spans="1:22" x14ac:dyDescent="0.3">
      <c r="A929" t="s">
        <v>1013</v>
      </c>
      <c r="B929" s="1">
        <v>46118</v>
      </c>
      <c r="C929" t="s">
        <v>23</v>
      </c>
      <c r="D929" t="s">
        <v>115</v>
      </c>
      <c r="E929" t="s">
        <v>116</v>
      </c>
      <c r="F929" t="s">
        <v>68</v>
      </c>
      <c r="G929" t="s">
        <v>27</v>
      </c>
      <c r="H929">
        <v>3</v>
      </c>
      <c r="I929" s="3">
        <v>249</v>
      </c>
      <c r="J929" s="4">
        <v>30</v>
      </c>
      <c r="K929" s="3">
        <v>174</v>
      </c>
      <c r="L929" s="3">
        <v>522</v>
      </c>
      <c r="M929" t="s">
        <v>64</v>
      </c>
      <c r="N929" t="s">
        <v>37</v>
      </c>
      <c r="O929" s="3">
        <v>65</v>
      </c>
      <c r="P929" t="s">
        <v>30</v>
      </c>
      <c r="Q929" s="3">
        <v>39.090000000000003</v>
      </c>
      <c r="R929" s="3">
        <v>224.36</v>
      </c>
      <c r="S929" s="3">
        <v>193.55</v>
      </c>
      <c r="T929" s="3">
        <v>174</v>
      </c>
      <c r="U929" s="3">
        <v>15</v>
      </c>
      <c r="V929" t="s">
        <v>31</v>
      </c>
    </row>
    <row r="930" spans="1:22" x14ac:dyDescent="0.3">
      <c r="A930" t="s">
        <v>1014</v>
      </c>
      <c r="B930" s="1">
        <v>46110</v>
      </c>
      <c r="C930" t="s">
        <v>39</v>
      </c>
      <c r="D930" t="s">
        <v>33</v>
      </c>
      <c r="E930" t="s">
        <v>34</v>
      </c>
      <c r="F930" t="s">
        <v>35</v>
      </c>
      <c r="G930" t="s">
        <v>36</v>
      </c>
      <c r="H930">
        <v>2</v>
      </c>
      <c r="I930" s="3">
        <v>599</v>
      </c>
      <c r="J930" s="4">
        <v>20</v>
      </c>
      <c r="K930" s="3">
        <v>479</v>
      </c>
      <c r="L930" s="3">
        <v>958</v>
      </c>
      <c r="M930" t="s">
        <v>28</v>
      </c>
      <c r="N930" t="s">
        <v>37</v>
      </c>
      <c r="O930" s="3">
        <v>45</v>
      </c>
      <c r="P930" t="s">
        <v>30</v>
      </c>
      <c r="Q930" s="3">
        <v>51.66</v>
      </c>
      <c r="R930" s="3">
        <v>487.83</v>
      </c>
      <c r="S930" s="3">
        <v>373.51</v>
      </c>
      <c r="T930" s="3">
        <v>479</v>
      </c>
      <c r="U930" s="3">
        <v>13</v>
      </c>
      <c r="V930" t="s">
        <v>43</v>
      </c>
    </row>
    <row r="931" spans="1:22" x14ac:dyDescent="0.3">
      <c r="A931" t="s">
        <v>1015</v>
      </c>
      <c r="B931" s="1">
        <v>46100</v>
      </c>
      <c r="C931" t="s">
        <v>39</v>
      </c>
      <c r="D931" t="s">
        <v>33</v>
      </c>
      <c r="E931" t="s">
        <v>34</v>
      </c>
      <c r="F931" t="s">
        <v>48</v>
      </c>
      <c r="G931" t="s">
        <v>49</v>
      </c>
      <c r="H931">
        <v>3</v>
      </c>
      <c r="I931" s="3">
        <v>599</v>
      </c>
      <c r="J931" s="4">
        <v>30</v>
      </c>
      <c r="K931" s="3">
        <v>419</v>
      </c>
      <c r="L931" s="3">
        <v>1257</v>
      </c>
      <c r="M931" t="s">
        <v>28</v>
      </c>
      <c r="N931" t="s">
        <v>29</v>
      </c>
      <c r="O931" s="3">
        <v>65</v>
      </c>
      <c r="P931" t="s">
        <v>30</v>
      </c>
      <c r="Q931" s="3">
        <v>73.08</v>
      </c>
      <c r="R931" s="3">
        <v>592.94000000000005</v>
      </c>
      <c r="S931" s="3">
        <v>525.98</v>
      </c>
      <c r="T931" s="3">
        <v>419</v>
      </c>
      <c r="U931" s="3">
        <v>12</v>
      </c>
      <c r="V931" t="s">
        <v>43</v>
      </c>
    </row>
    <row r="932" spans="1:22" x14ac:dyDescent="0.3">
      <c r="A932" t="s">
        <v>1016</v>
      </c>
      <c r="B932" s="1">
        <v>46142</v>
      </c>
      <c r="C932" t="s">
        <v>23</v>
      </c>
      <c r="D932" t="s">
        <v>112</v>
      </c>
      <c r="E932" t="s">
        <v>47</v>
      </c>
      <c r="F932" t="s">
        <v>48</v>
      </c>
      <c r="G932" t="s">
        <v>49</v>
      </c>
      <c r="H932">
        <v>2</v>
      </c>
      <c r="I932" s="3">
        <v>299</v>
      </c>
      <c r="J932" s="4">
        <v>25</v>
      </c>
      <c r="K932" s="3">
        <v>224</v>
      </c>
      <c r="L932" s="3">
        <v>448</v>
      </c>
      <c r="M932" t="s">
        <v>28</v>
      </c>
      <c r="N932" t="s">
        <v>29</v>
      </c>
      <c r="O932" s="3">
        <v>35</v>
      </c>
      <c r="P932" t="s">
        <v>30</v>
      </c>
      <c r="Q932" s="3">
        <v>26.45</v>
      </c>
      <c r="R932" s="3">
        <v>219.04</v>
      </c>
      <c r="S932" s="3">
        <v>167.51</v>
      </c>
      <c r="T932" s="3">
        <v>224</v>
      </c>
      <c r="U932" s="3">
        <v>18</v>
      </c>
      <c r="V932" t="s">
        <v>31</v>
      </c>
    </row>
    <row r="933" spans="1:22" x14ac:dyDescent="0.3">
      <c r="A933" t="s">
        <v>1017</v>
      </c>
      <c r="B933" s="1">
        <v>46187</v>
      </c>
      <c r="C933" t="s">
        <v>78</v>
      </c>
      <c r="D933" t="s">
        <v>46</v>
      </c>
      <c r="E933" t="s">
        <v>47</v>
      </c>
      <c r="F933" t="s">
        <v>84</v>
      </c>
      <c r="G933" t="s">
        <v>84</v>
      </c>
      <c r="H933">
        <v>1</v>
      </c>
      <c r="I933" s="3">
        <v>899</v>
      </c>
      <c r="J933" s="4">
        <v>15</v>
      </c>
      <c r="K933" s="3">
        <v>764</v>
      </c>
      <c r="L933" s="3">
        <v>764</v>
      </c>
      <c r="M933" t="s">
        <v>28</v>
      </c>
      <c r="N933" t="s">
        <v>37</v>
      </c>
      <c r="O933" s="3">
        <v>65</v>
      </c>
      <c r="P933" t="s">
        <v>30</v>
      </c>
      <c r="Q933" s="3">
        <v>48.15</v>
      </c>
      <c r="R933" s="3">
        <v>353.23</v>
      </c>
      <c r="S933" s="3">
        <v>297.62</v>
      </c>
      <c r="T933" s="3">
        <v>764</v>
      </c>
      <c r="U933" s="3">
        <v>24</v>
      </c>
      <c r="V933" t="s">
        <v>81</v>
      </c>
    </row>
    <row r="934" spans="1:22" x14ac:dyDescent="0.3">
      <c r="A934" t="s">
        <v>1018</v>
      </c>
      <c r="B934" s="1">
        <v>46204</v>
      </c>
      <c r="C934" t="s">
        <v>45</v>
      </c>
      <c r="D934" t="s">
        <v>40</v>
      </c>
      <c r="E934" t="s">
        <v>41</v>
      </c>
      <c r="F934" t="s">
        <v>84</v>
      </c>
      <c r="G934" t="s">
        <v>84</v>
      </c>
      <c r="H934">
        <v>1</v>
      </c>
      <c r="I934" s="3">
        <v>449</v>
      </c>
      <c r="J934" s="4">
        <v>30</v>
      </c>
      <c r="K934" s="3">
        <v>314</v>
      </c>
      <c r="L934" s="3">
        <v>314</v>
      </c>
      <c r="M934" t="s">
        <v>28</v>
      </c>
      <c r="N934" t="s">
        <v>29</v>
      </c>
      <c r="O934" s="3">
        <v>45</v>
      </c>
      <c r="P934" t="s">
        <v>30</v>
      </c>
      <c r="Q934" s="3">
        <v>24.81</v>
      </c>
      <c r="R934" s="3">
        <v>142.34</v>
      </c>
      <c r="S934" s="3">
        <v>101.85</v>
      </c>
      <c r="T934" s="3">
        <v>314</v>
      </c>
      <c r="U934" s="3">
        <v>27</v>
      </c>
      <c r="V934" t="s">
        <v>50</v>
      </c>
    </row>
    <row r="935" spans="1:22" x14ac:dyDescent="0.3">
      <c r="A935" t="s">
        <v>1019</v>
      </c>
      <c r="B935" s="1">
        <v>46245</v>
      </c>
      <c r="C935" t="s">
        <v>67</v>
      </c>
      <c r="D935" t="s">
        <v>74</v>
      </c>
      <c r="E935" t="s">
        <v>75</v>
      </c>
      <c r="F935" t="s">
        <v>55</v>
      </c>
      <c r="G935" t="s">
        <v>56</v>
      </c>
      <c r="H935">
        <v>2</v>
      </c>
      <c r="I935" s="3">
        <v>549</v>
      </c>
      <c r="J935" s="4">
        <v>40</v>
      </c>
      <c r="K935" s="3">
        <v>329</v>
      </c>
      <c r="L935" s="3">
        <v>658</v>
      </c>
      <c r="M935" t="s">
        <v>76</v>
      </c>
      <c r="N935" t="s">
        <v>29</v>
      </c>
      <c r="O935" s="3">
        <v>55</v>
      </c>
      <c r="P935" t="s">
        <v>30</v>
      </c>
      <c r="Q935" s="3">
        <v>47.06</v>
      </c>
      <c r="R935" s="3">
        <v>322.69</v>
      </c>
      <c r="S935" s="3">
        <v>233.25</v>
      </c>
      <c r="T935" s="3">
        <v>329</v>
      </c>
      <c r="U935" s="3">
        <v>33</v>
      </c>
      <c r="V935" t="s">
        <v>71</v>
      </c>
    </row>
    <row r="936" spans="1:22" x14ac:dyDescent="0.3">
      <c r="A936" t="s">
        <v>1020</v>
      </c>
      <c r="B936" s="1">
        <v>46029</v>
      </c>
      <c r="C936" t="s">
        <v>52</v>
      </c>
      <c r="D936" t="s">
        <v>33</v>
      </c>
      <c r="E936" t="s">
        <v>34</v>
      </c>
      <c r="F936" t="s">
        <v>79</v>
      </c>
      <c r="G936" t="s">
        <v>80</v>
      </c>
      <c r="H936">
        <v>2</v>
      </c>
      <c r="I936" s="3">
        <v>599</v>
      </c>
      <c r="J936" s="4">
        <v>20</v>
      </c>
      <c r="K936" s="3">
        <v>479</v>
      </c>
      <c r="L936" s="3">
        <v>958</v>
      </c>
      <c r="M936" t="s">
        <v>28</v>
      </c>
      <c r="N936" t="s">
        <v>37</v>
      </c>
      <c r="O936" s="3">
        <v>55</v>
      </c>
      <c r="P936" t="s">
        <v>30</v>
      </c>
      <c r="Q936" s="3">
        <v>60.67</v>
      </c>
      <c r="R936" s="3">
        <v>453.94</v>
      </c>
      <c r="S936" s="3">
        <v>388.39</v>
      </c>
      <c r="T936" s="3">
        <v>479</v>
      </c>
      <c r="U936" s="3">
        <v>2</v>
      </c>
      <c r="V936" t="s">
        <v>57</v>
      </c>
    </row>
    <row r="937" spans="1:22" x14ac:dyDescent="0.3">
      <c r="A937" t="s">
        <v>1021</v>
      </c>
      <c r="B937" s="1">
        <v>46285</v>
      </c>
      <c r="C937" t="s">
        <v>86</v>
      </c>
      <c r="D937" t="s">
        <v>130</v>
      </c>
      <c r="E937" t="s">
        <v>54</v>
      </c>
      <c r="F937" t="s">
        <v>109</v>
      </c>
      <c r="G937" t="s">
        <v>110</v>
      </c>
      <c r="H937">
        <v>1</v>
      </c>
      <c r="I937" s="3">
        <v>699</v>
      </c>
      <c r="J937" s="4">
        <v>15</v>
      </c>
      <c r="K937" s="3">
        <v>594</v>
      </c>
      <c r="L937" s="3">
        <v>594</v>
      </c>
      <c r="M937" t="s">
        <v>28</v>
      </c>
      <c r="N937" t="s">
        <v>29</v>
      </c>
      <c r="O937" s="3">
        <v>45</v>
      </c>
      <c r="P937" t="s">
        <v>30</v>
      </c>
      <c r="Q937" s="3">
        <v>36.19</v>
      </c>
      <c r="R937" s="3">
        <v>269.92</v>
      </c>
      <c r="S937" s="3">
        <v>242.89</v>
      </c>
      <c r="T937" s="3">
        <v>594</v>
      </c>
      <c r="U937" s="3">
        <v>38</v>
      </c>
      <c r="V937" t="s">
        <v>87</v>
      </c>
    </row>
    <row r="938" spans="1:22" x14ac:dyDescent="0.3">
      <c r="A938" t="s">
        <v>1022</v>
      </c>
      <c r="B938" s="1">
        <v>46183</v>
      </c>
      <c r="C938" t="s">
        <v>78</v>
      </c>
      <c r="D938" t="s">
        <v>74</v>
      </c>
      <c r="E938" t="s">
        <v>75</v>
      </c>
      <c r="F938" t="s">
        <v>55</v>
      </c>
      <c r="G938" t="s">
        <v>56</v>
      </c>
      <c r="H938">
        <v>2</v>
      </c>
      <c r="I938" s="3">
        <v>549</v>
      </c>
      <c r="J938" s="4">
        <v>40</v>
      </c>
      <c r="K938" s="3">
        <v>329</v>
      </c>
      <c r="L938" s="3">
        <v>658</v>
      </c>
      <c r="M938" t="s">
        <v>102</v>
      </c>
      <c r="N938" t="s">
        <v>37</v>
      </c>
      <c r="O938" s="3">
        <v>65</v>
      </c>
      <c r="P938" t="s">
        <v>30</v>
      </c>
      <c r="Q938" s="3">
        <v>41.34</v>
      </c>
      <c r="R938" s="3">
        <v>326.41000000000003</v>
      </c>
      <c r="S938" s="3">
        <v>225.25</v>
      </c>
      <c r="T938" s="3">
        <v>329</v>
      </c>
      <c r="U938" s="3">
        <v>24</v>
      </c>
      <c r="V938" t="s">
        <v>81</v>
      </c>
    </row>
    <row r="939" spans="1:22" x14ac:dyDescent="0.3">
      <c r="A939" t="s">
        <v>1023</v>
      </c>
      <c r="B939" s="1">
        <v>46173</v>
      </c>
      <c r="C939" t="s">
        <v>62</v>
      </c>
      <c r="D939" t="s">
        <v>63</v>
      </c>
      <c r="E939" t="s">
        <v>47</v>
      </c>
      <c r="F939" t="s">
        <v>35</v>
      </c>
      <c r="G939" t="s">
        <v>36</v>
      </c>
      <c r="H939">
        <v>1</v>
      </c>
      <c r="I939" s="3">
        <v>399</v>
      </c>
      <c r="J939" s="4">
        <v>15</v>
      </c>
      <c r="K939" s="3">
        <v>339</v>
      </c>
      <c r="L939" s="3">
        <v>339</v>
      </c>
      <c r="M939" t="s">
        <v>28</v>
      </c>
      <c r="N939" t="s">
        <v>29</v>
      </c>
      <c r="O939" s="3">
        <v>55</v>
      </c>
      <c r="P939" t="s">
        <v>30</v>
      </c>
      <c r="Q939" s="3">
        <v>24.18</v>
      </c>
      <c r="R939" s="3">
        <v>151.47999999999999</v>
      </c>
      <c r="S939" s="3">
        <v>108.34</v>
      </c>
      <c r="T939" s="3">
        <v>339</v>
      </c>
      <c r="U939" s="3">
        <v>22</v>
      </c>
      <c r="V939" t="s">
        <v>65</v>
      </c>
    </row>
    <row r="940" spans="1:22" x14ac:dyDescent="0.3">
      <c r="A940" t="s">
        <v>1024</v>
      </c>
      <c r="B940" s="1">
        <v>46107</v>
      </c>
      <c r="C940" t="s">
        <v>39</v>
      </c>
      <c r="D940" t="s">
        <v>93</v>
      </c>
      <c r="E940" t="s">
        <v>47</v>
      </c>
      <c r="F940" t="s">
        <v>109</v>
      </c>
      <c r="G940" t="s">
        <v>110</v>
      </c>
      <c r="H940">
        <v>1</v>
      </c>
      <c r="I940" s="3">
        <v>699</v>
      </c>
      <c r="J940" s="4">
        <v>10</v>
      </c>
      <c r="K940" s="3">
        <v>629</v>
      </c>
      <c r="L940" s="3">
        <v>629</v>
      </c>
      <c r="M940" t="s">
        <v>64</v>
      </c>
      <c r="N940" t="s">
        <v>37</v>
      </c>
      <c r="O940" s="3">
        <v>65</v>
      </c>
      <c r="P940" t="s">
        <v>30</v>
      </c>
      <c r="Q940" s="3">
        <v>35.729999999999997</v>
      </c>
      <c r="R940" s="3">
        <v>276.25</v>
      </c>
      <c r="S940" s="3">
        <v>252.02</v>
      </c>
      <c r="T940" s="3">
        <v>629</v>
      </c>
      <c r="U940" s="3">
        <v>13</v>
      </c>
      <c r="V940" t="s">
        <v>43</v>
      </c>
    </row>
    <row r="941" spans="1:22" x14ac:dyDescent="0.3">
      <c r="A941" t="s">
        <v>1025</v>
      </c>
      <c r="B941" s="1">
        <v>46169</v>
      </c>
      <c r="C941" t="s">
        <v>62</v>
      </c>
      <c r="D941" t="s">
        <v>33</v>
      </c>
      <c r="E941" t="s">
        <v>34</v>
      </c>
      <c r="F941" t="s">
        <v>35</v>
      </c>
      <c r="G941" t="s">
        <v>36</v>
      </c>
      <c r="H941">
        <v>1</v>
      </c>
      <c r="I941" s="3">
        <v>599</v>
      </c>
      <c r="J941" s="4">
        <v>15</v>
      </c>
      <c r="K941" s="3">
        <v>509</v>
      </c>
      <c r="L941" s="3">
        <v>509</v>
      </c>
      <c r="M941" t="s">
        <v>28</v>
      </c>
      <c r="N941" t="s">
        <v>29</v>
      </c>
      <c r="O941" s="3">
        <v>35</v>
      </c>
      <c r="P941" t="s">
        <v>30</v>
      </c>
      <c r="Q941" s="3">
        <v>31.41</v>
      </c>
      <c r="R941" s="3">
        <v>227.02</v>
      </c>
      <c r="S941" s="3">
        <v>215.57</v>
      </c>
      <c r="T941" s="3">
        <v>509</v>
      </c>
      <c r="U941" s="3">
        <v>22</v>
      </c>
      <c r="V941" t="s">
        <v>65</v>
      </c>
    </row>
    <row r="942" spans="1:22" x14ac:dyDescent="0.3">
      <c r="A942" t="s">
        <v>1026</v>
      </c>
      <c r="B942" s="1">
        <v>46134</v>
      </c>
      <c r="C942" t="s">
        <v>23</v>
      </c>
      <c r="D942" t="s">
        <v>93</v>
      </c>
      <c r="E942" t="s">
        <v>47</v>
      </c>
      <c r="F942" t="s">
        <v>79</v>
      </c>
      <c r="G942" t="s">
        <v>80</v>
      </c>
      <c r="H942">
        <v>1</v>
      </c>
      <c r="I942" s="3">
        <v>699</v>
      </c>
      <c r="J942" s="4">
        <v>15</v>
      </c>
      <c r="K942" s="3">
        <v>594</v>
      </c>
      <c r="L942" s="3">
        <v>594</v>
      </c>
      <c r="M942" t="s">
        <v>28</v>
      </c>
      <c r="N942" t="s">
        <v>37</v>
      </c>
      <c r="O942" s="3">
        <v>55</v>
      </c>
      <c r="P942" t="s">
        <v>30</v>
      </c>
      <c r="Q942" s="3">
        <v>26.49</v>
      </c>
      <c r="R942" s="3">
        <v>290.75</v>
      </c>
      <c r="S942" s="3">
        <v>221.76</v>
      </c>
      <c r="T942" s="3">
        <v>594</v>
      </c>
      <c r="U942" s="3">
        <v>17</v>
      </c>
      <c r="V942" t="s">
        <v>31</v>
      </c>
    </row>
    <row r="943" spans="1:22" x14ac:dyDescent="0.3">
      <c r="A943" t="s">
        <v>1027</v>
      </c>
      <c r="B943" s="1">
        <v>46058</v>
      </c>
      <c r="C943" t="s">
        <v>95</v>
      </c>
      <c r="D943" t="s">
        <v>53</v>
      </c>
      <c r="E943" t="s">
        <v>54</v>
      </c>
      <c r="F943" t="s">
        <v>79</v>
      </c>
      <c r="G943" t="s">
        <v>80</v>
      </c>
      <c r="H943">
        <v>1</v>
      </c>
      <c r="I943" s="3">
        <v>499</v>
      </c>
      <c r="J943" s="4">
        <v>25</v>
      </c>
      <c r="K943" s="3">
        <v>374</v>
      </c>
      <c r="L943" s="3">
        <v>374</v>
      </c>
      <c r="M943" t="s">
        <v>28</v>
      </c>
      <c r="N943" t="s">
        <v>29</v>
      </c>
      <c r="O943" s="3">
        <v>35</v>
      </c>
      <c r="P943" t="s">
        <v>30</v>
      </c>
      <c r="Q943" s="3">
        <v>18.010000000000002</v>
      </c>
      <c r="R943" s="3">
        <v>184.86</v>
      </c>
      <c r="S943" s="3">
        <v>136.13</v>
      </c>
      <c r="T943" s="3">
        <v>374</v>
      </c>
      <c r="U943" s="3">
        <v>6</v>
      </c>
      <c r="V943" t="s">
        <v>96</v>
      </c>
    </row>
    <row r="944" spans="1:22" x14ac:dyDescent="0.3">
      <c r="A944" t="s">
        <v>1028</v>
      </c>
      <c r="B944" s="1">
        <v>46210</v>
      </c>
      <c r="C944" t="s">
        <v>45</v>
      </c>
      <c r="D944" t="s">
        <v>40</v>
      </c>
      <c r="E944" t="s">
        <v>41</v>
      </c>
      <c r="F944" t="s">
        <v>42</v>
      </c>
      <c r="G944" t="s">
        <v>27</v>
      </c>
      <c r="H944">
        <v>1</v>
      </c>
      <c r="I944" s="3">
        <v>449</v>
      </c>
      <c r="J944" s="4">
        <v>25</v>
      </c>
      <c r="K944" s="3">
        <v>337</v>
      </c>
      <c r="L944" s="3">
        <v>337</v>
      </c>
      <c r="M944" t="s">
        <v>69</v>
      </c>
      <c r="N944" t="s">
        <v>37</v>
      </c>
      <c r="O944" s="3">
        <v>35</v>
      </c>
      <c r="P944" t="s">
        <v>70</v>
      </c>
      <c r="Q944" s="3">
        <v>19.37</v>
      </c>
      <c r="R944" s="3">
        <v>159.07</v>
      </c>
      <c r="S944" s="3">
        <v>123.56</v>
      </c>
      <c r="T944" s="3">
        <v>337</v>
      </c>
      <c r="U944" s="3">
        <v>28</v>
      </c>
      <c r="V944" t="s">
        <v>50</v>
      </c>
    </row>
    <row r="945" spans="1:22" x14ac:dyDescent="0.3">
      <c r="A945" t="s">
        <v>1029</v>
      </c>
      <c r="B945" s="1">
        <v>46104</v>
      </c>
      <c r="C945" t="s">
        <v>39</v>
      </c>
      <c r="D945" t="s">
        <v>112</v>
      </c>
      <c r="E945" t="s">
        <v>47</v>
      </c>
      <c r="F945" t="s">
        <v>55</v>
      </c>
      <c r="G945" t="s">
        <v>56</v>
      </c>
      <c r="H945">
        <v>1</v>
      </c>
      <c r="I945" s="3">
        <v>299</v>
      </c>
      <c r="J945" s="4">
        <v>15</v>
      </c>
      <c r="K945" s="3">
        <v>254</v>
      </c>
      <c r="L945" s="3">
        <v>254</v>
      </c>
      <c r="M945" t="s">
        <v>28</v>
      </c>
      <c r="N945" t="s">
        <v>29</v>
      </c>
      <c r="O945" s="3">
        <v>35</v>
      </c>
      <c r="P945" t="s">
        <v>30</v>
      </c>
      <c r="Q945" s="3">
        <v>19.38</v>
      </c>
      <c r="R945" s="3">
        <v>125</v>
      </c>
      <c r="S945" s="3">
        <v>74.62</v>
      </c>
      <c r="T945" s="3">
        <v>254</v>
      </c>
      <c r="U945" s="3">
        <v>13</v>
      </c>
      <c r="V945" t="s">
        <v>43</v>
      </c>
    </row>
    <row r="946" spans="1:22" x14ac:dyDescent="0.3">
      <c r="A946" t="s">
        <v>1030</v>
      </c>
      <c r="B946" s="1">
        <v>46024</v>
      </c>
      <c r="C946" t="s">
        <v>52</v>
      </c>
      <c r="D946" t="s">
        <v>112</v>
      </c>
      <c r="E946" t="s">
        <v>47</v>
      </c>
      <c r="F946" t="s">
        <v>42</v>
      </c>
      <c r="G946" t="s">
        <v>27</v>
      </c>
      <c r="H946">
        <v>2</v>
      </c>
      <c r="I946" s="3">
        <v>299</v>
      </c>
      <c r="J946" s="4">
        <v>10</v>
      </c>
      <c r="K946" s="3">
        <v>269</v>
      </c>
      <c r="L946" s="3">
        <v>538</v>
      </c>
      <c r="M946" t="s">
        <v>28</v>
      </c>
      <c r="N946" t="s">
        <v>29</v>
      </c>
      <c r="O946" s="3">
        <v>35</v>
      </c>
      <c r="P946" t="s">
        <v>30</v>
      </c>
      <c r="Q946" s="3">
        <v>26.86</v>
      </c>
      <c r="R946" s="3">
        <v>275.88</v>
      </c>
      <c r="S946" s="3">
        <v>200.26</v>
      </c>
      <c r="T946" s="3">
        <v>269</v>
      </c>
      <c r="U946" s="3">
        <v>1</v>
      </c>
      <c r="V946" t="s">
        <v>57</v>
      </c>
    </row>
    <row r="947" spans="1:22" x14ac:dyDescent="0.3">
      <c r="A947" t="s">
        <v>1031</v>
      </c>
      <c r="B947" s="1">
        <v>46219</v>
      </c>
      <c r="C947" t="s">
        <v>45</v>
      </c>
      <c r="D947" t="s">
        <v>33</v>
      </c>
      <c r="E947" t="s">
        <v>34</v>
      </c>
      <c r="F947" t="s">
        <v>100</v>
      </c>
      <c r="G947" t="s">
        <v>101</v>
      </c>
      <c r="H947">
        <v>1</v>
      </c>
      <c r="I947" s="3">
        <v>599</v>
      </c>
      <c r="J947" s="4">
        <v>20</v>
      </c>
      <c r="K947" s="3">
        <v>479</v>
      </c>
      <c r="L947" s="3">
        <v>479</v>
      </c>
      <c r="M947" t="s">
        <v>28</v>
      </c>
      <c r="N947" t="s">
        <v>29</v>
      </c>
      <c r="O947" s="3">
        <v>65</v>
      </c>
      <c r="P947" t="s">
        <v>30</v>
      </c>
      <c r="Q947" s="3">
        <v>20.82</v>
      </c>
      <c r="R947" s="3">
        <v>239.46</v>
      </c>
      <c r="S947" s="3">
        <v>153.72</v>
      </c>
      <c r="T947" s="3">
        <v>479</v>
      </c>
      <c r="U947" s="3">
        <v>29</v>
      </c>
      <c r="V947" t="s">
        <v>50</v>
      </c>
    </row>
    <row r="948" spans="1:22" x14ac:dyDescent="0.3">
      <c r="A948" t="s">
        <v>1032</v>
      </c>
      <c r="B948" s="1">
        <v>46033</v>
      </c>
      <c r="C948" t="s">
        <v>52</v>
      </c>
      <c r="D948" t="s">
        <v>63</v>
      </c>
      <c r="E948" t="s">
        <v>47</v>
      </c>
      <c r="F948" t="s">
        <v>42</v>
      </c>
      <c r="G948" t="s">
        <v>27</v>
      </c>
      <c r="H948">
        <v>3</v>
      </c>
      <c r="I948" s="3">
        <v>399</v>
      </c>
      <c r="J948" s="4">
        <v>40</v>
      </c>
      <c r="K948" s="3">
        <v>239</v>
      </c>
      <c r="L948" s="3">
        <v>717</v>
      </c>
      <c r="M948" t="s">
        <v>28</v>
      </c>
      <c r="N948" t="s">
        <v>37</v>
      </c>
      <c r="O948" s="3">
        <v>55</v>
      </c>
      <c r="P948" t="s">
        <v>30</v>
      </c>
      <c r="Q948" s="3">
        <v>29.32</v>
      </c>
      <c r="R948" s="3">
        <v>363.46</v>
      </c>
      <c r="S948" s="3">
        <v>269.22000000000003</v>
      </c>
      <c r="T948" s="3">
        <v>239</v>
      </c>
      <c r="U948" s="3">
        <v>2</v>
      </c>
      <c r="V948" t="s">
        <v>57</v>
      </c>
    </row>
    <row r="949" spans="1:22" x14ac:dyDescent="0.3">
      <c r="A949" t="s">
        <v>1033</v>
      </c>
      <c r="B949" s="1">
        <v>46256</v>
      </c>
      <c r="C949" t="s">
        <v>67</v>
      </c>
      <c r="D949" t="s">
        <v>112</v>
      </c>
      <c r="E949" t="s">
        <v>47</v>
      </c>
      <c r="F949" t="s">
        <v>68</v>
      </c>
      <c r="G949" t="s">
        <v>27</v>
      </c>
      <c r="H949">
        <v>1</v>
      </c>
      <c r="I949" s="3">
        <v>299</v>
      </c>
      <c r="J949" s="4">
        <v>25</v>
      </c>
      <c r="K949" s="3">
        <v>224</v>
      </c>
      <c r="L949" s="3">
        <v>224</v>
      </c>
      <c r="M949" t="s">
        <v>76</v>
      </c>
      <c r="N949" t="s">
        <v>37</v>
      </c>
      <c r="O949" s="3">
        <v>35</v>
      </c>
      <c r="P949" t="s">
        <v>30</v>
      </c>
      <c r="Q949" s="3">
        <v>14.3</v>
      </c>
      <c r="R949" s="3">
        <v>114.6</v>
      </c>
      <c r="S949" s="3">
        <v>60.1</v>
      </c>
      <c r="T949" s="3">
        <v>224</v>
      </c>
      <c r="U949" s="3">
        <v>34</v>
      </c>
      <c r="V949" t="s">
        <v>71</v>
      </c>
    </row>
    <row r="950" spans="1:22" x14ac:dyDescent="0.3">
      <c r="A950" t="s">
        <v>1034</v>
      </c>
      <c r="B950" s="1">
        <v>46217</v>
      </c>
      <c r="C950" t="s">
        <v>45</v>
      </c>
      <c r="D950" t="s">
        <v>63</v>
      </c>
      <c r="E950" t="s">
        <v>47</v>
      </c>
      <c r="F950" t="s">
        <v>84</v>
      </c>
      <c r="G950" t="s">
        <v>84</v>
      </c>
      <c r="H950">
        <v>1</v>
      </c>
      <c r="I950" s="3">
        <v>399</v>
      </c>
      <c r="J950" s="4">
        <v>25</v>
      </c>
      <c r="K950" s="3">
        <v>299</v>
      </c>
      <c r="L950" s="3">
        <v>299</v>
      </c>
      <c r="M950" t="s">
        <v>76</v>
      </c>
      <c r="N950" t="s">
        <v>37</v>
      </c>
      <c r="O950" s="3">
        <v>35</v>
      </c>
      <c r="P950" t="s">
        <v>30</v>
      </c>
      <c r="Q950" s="3">
        <v>13.74</v>
      </c>
      <c r="R950" s="3">
        <v>137.96</v>
      </c>
      <c r="S950" s="3">
        <v>112.3</v>
      </c>
      <c r="T950" s="3">
        <v>299</v>
      </c>
      <c r="U950" s="3">
        <v>29</v>
      </c>
      <c r="V950" t="s">
        <v>50</v>
      </c>
    </row>
    <row r="951" spans="1:22" x14ac:dyDescent="0.3">
      <c r="A951" t="s">
        <v>1035</v>
      </c>
      <c r="B951" s="1">
        <v>46141</v>
      </c>
      <c r="C951" t="s">
        <v>23</v>
      </c>
      <c r="D951" t="s">
        <v>74</v>
      </c>
      <c r="E951" t="s">
        <v>75</v>
      </c>
      <c r="F951" t="s">
        <v>35</v>
      </c>
      <c r="G951" t="s">
        <v>36</v>
      </c>
      <c r="H951">
        <v>1</v>
      </c>
      <c r="I951" s="3">
        <v>549</v>
      </c>
      <c r="J951" s="4">
        <v>10</v>
      </c>
      <c r="K951" s="3">
        <v>494</v>
      </c>
      <c r="L951" s="3">
        <v>494</v>
      </c>
      <c r="M951" t="s">
        <v>28</v>
      </c>
      <c r="N951" t="s">
        <v>37</v>
      </c>
      <c r="O951" s="3">
        <v>55</v>
      </c>
      <c r="P951" t="s">
        <v>30</v>
      </c>
      <c r="Q951" s="3">
        <v>22.86</v>
      </c>
      <c r="R951" s="3">
        <v>228.54</v>
      </c>
      <c r="S951" s="3">
        <v>187.6</v>
      </c>
      <c r="T951" s="3">
        <v>494</v>
      </c>
      <c r="U951" s="3">
        <v>18</v>
      </c>
      <c r="V951" t="s">
        <v>31</v>
      </c>
    </row>
    <row r="952" spans="1:22" x14ac:dyDescent="0.3">
      <c r="A952" t="s">
        <v>1036</v>
      </c>
      <c r="B952" s="1">
        <v>46042</v>
      </c>
      <c r="C952" t="s">
        <v>52</v>
      </c>
      <c r="D952" t="s">
        <v>40</v>
      </c>
      <c r="E952" t="s">
        <v>41</v>
      </c>
      <c r="F952" t="s">
        <v>48</v>
      </c>
      <c r="G952" t="s">
        <v>49</v>
      </c>
      <c r="H952">
        <v>1</v>
      </c>
      <c r="I952" s="3">
        <v>449</v>
      </c>
      <c r="J952" s="4">
        <v>20</v>
      </c>
      <c r="K952" s="3">
        <v>359</v>
      </c>
      <c r="L952" s="3">
        <v>359</v>
      </c>
      <c r="M952" t="s">
        <v>28</v>
      </c>
      <c r="N952" t="s">
        <v>37</v>
      </c>
      <c r="O952" s="3">
        <v>35</v>
      </c>
      <c r="P952" t="s">
        <v>30</v>
      </c>
      <c r="Q952" s="3">
        <v>27.42</v>
      </c>
      <c r="R952" s="3">
        <v>151.43</v>
      </c>
      <c r="S952" s="3">
        <v>145.15</v>
      </c>
      <c r="T952" s="3">
        <v>359</v>
      </c>
      <c r="U952" s="3">
        <v>4</v>
      </c>
      <c r="V952" t="s">
        <v>57</v>
      </c>
    </row>
    <row r="953" spans="1:22" x14ac:dyDescent="0.3">
      <c r="A953" t="s">
        <v>1037</v>
      </c>
      <c r="B953" s="1">
        <v>46283</v>
      </c>
      <c r="C953" t="s">
        <v>86</v>
      </c>
      <c r="D953" t="s">
        <v>53</v>
      </c>
      <c r="E953" t="s">
        <v>54</v>
      </c>
      <c r="F953" t="s">
        <v>100</v>
      </c>
      <c r="G953" t="s">
        <v>101</v>
      </c>
      <c r="H953">
        <v>1</v>
      </c>
      <c r="I953" s="3">
        <v>499</v>
      </c>
      <c r="J953" s="4">
        <v>15</v>
      </c>
      <c r="K953" s="3">
        <v>424</v>
      </c>
      <c r="L953" s="3">
        <v>424</v>
      </c>
      <c r="M953" t="s">
        <v>28</v>
      </c>
      <c r="N953" t="s">
        <v>29</v>
      </c>
      <c r="O953" s="3">
        <v>65</v>
      </c>
      <c r="P953" t="s">
        <v>30</v>
      </c>
      <c r="Q953" s="3">
        <v>33.17</v>
      </c>
      <c r="R953" s="3">
        <v>209.21</v>
      </c>
      <c r="S953" s="3">
        <v>116.62</v>
      </c>
      <c r="T953" s="3">
        <v>424</v>
      </c>
      <c r="U953" s="3">
        <v>38</v>
      </c>
      <c r="V953" t="s">
        <v>87</v>
      </c>
    </row>
    <row r="954" spans="1:22" x14ac:dyDescent="0.3">
      <c r="A954" t="s">
        <v>1038</v>
      </c>
      <c r="B954" s="1">
        <v>46278</v>
      </c>
      <c r="C954" t="s">
        <v>86</v>
      </c>
      <c r="D954" t="s">
        <v>130</v>
      </c>
      <c r="E954" t="s">
        <v>54</v>
      </c>
      <c r="F954" t="s">
        <v>100</v>
      </c>
      <c r="G954" t="s">
        <v>101</v>
      </c>
      <c r="H954">
        <v>1</v>
      </c>
      <c r="I954" s="3">
        <v>699</v>
      </c>
      <c r="J954" s="4">
        <v>35</v>
      </c>
      <c r="K954" s="3">
        <v>454</v>
      </c>
      <c r="L954" s="3">
        <v>454</v>
      </c>
      <c r="M954" t="s">
        <v>28</v>
      </c>
      <c r="N954" t="s">
        <v>37</v>
      </c>
      <c r="O954" s="3">
        <v>65</v>
      </c>
      <c r="P954" t="s">
        <v>30</v>
      </c>
      <c r="Q954" s="3">
        <v>27.49</v>
      </c>
      <c r="R954" s="3">
        <v>227.14</v>
      </c>
      <c r="S954" s="3">
        <v>134.37</v>
      </c>
      <c r="T954" s="3">
        <v>454</v>
      </c>
      <c r="U954" s="3">
        <v>37</v>
      </c>
      <c r="V954" t="s">
        <v>87</v>
      </c>
    </row>
    <row r="955" spans="1:22" x14ac:dyDescent="0.3">
      <c r="A955" t="s">
        <v>1039</v>
      </c>
      <c r="B955" s="1">
        <v>46244</v>
      </c>
      <c r="C955" t="s">
        <v>67</v>
      </c>
      <c r="D955" t="s">
        <v>59</v>
      </c>
      <c r="E955" t="s">
        <v>60</v>
      </c>
      <c r="F955" t="s">
        <v>42</v>
      </c>
      <c r="G955" t="s">
        <v>27</v>
      </c>
      <c r="H955">
        <v>1</v>
      </c>
      <c r="I955" s="3">
        <v>299</v>
      </c>
      <c r="J955" s="4">
        <v>20</v>
      </c>
      <c r="K955" s="3">
        <v>239</v>
      </c>
      <c r="L955" s="3">
        <v>239</v>
      </c>
      <c r="M955" t="s">
        <v>76</v>
      </c>
      <c r="N955" t="s">
        <v>37</v>
      </c>
      <c r="O955" s="3">
        <v>55</v>
      </c>
      <c r="P955" t="s">
        <v>30</v>
      </c>
      <c r="Q955" s="3">
        <v>12.97</v>
      </c>
      <c r="R955" s="3">
        <v>107.27</v>
      </c>
      <c r="S955" s="3">
        <v>63.76</v>
      </c>
      <c r="T955" s="3">
        <v>239</v>
      </c>
      <c r="U955" s="3">
        <v>33</v>
      </c>
      <c r="V955" t="s">
        <v>71</v>
      </c>
    </row>
    <row r="956" spans="1:22" x14ac:dyDescent="0.3">
      <c r="A956" t="s">
        <v>1040</v>
      </c>
      <c r="B956" s="1">
        <v>46248</v>
      </c>
      <c r="C956" t="s">
        <v>67</v>
      </c>
      <c r="D956" t="s">
        <v>53</v>
      </c>
      <c r="E956" t="s">
        <v>54</v>
      </c>
      <c r="F956" t="s">
        <v>100</v>
      </c>
      <c r="G956" t="s">
        <v>101</v>
      </c>
      <c r="H956">
        <v>1</v>
      </c>
      <c r="I956" s="3">
        <v>499</v>
      </c>
      <c r="J956" s="4">
        <v>40</v>
      </c>
      <c r="K956" s="3">
        <v>299</v>
      </c>
      <c r="L956" s="3">
        <v>299</v>
      </c>
      <c r="M956" t="s">
        <v>76</v>
      </c>
      <c r="N956" t="s">
        <v>29</v>
      </c>
      <c r="O956" s="3">
        <v>65</v>
      </c>
      <c r="P956" t="s">
        <v>30</v>
      </c>
      <c r="Q956" s="3">
        <v>17.760000000000002</v>
      </c>
      <c r="R956" s="3">
        <v>141.79</v>
      </c>
      <c r="S956" s="3">
        <v>74.45</v>
      </c>
      <c r="T956" s="3">
        <v>299</v>
      </c>
      <c r="U956" s="3">
        <v>33</v>
      </c>
      <c r="V956" t="s">
        <v>71</v>
      </c>
    </row>
    <row r="957" spans="1:22" x14ac:dyDescent="0.3">
      <c r="A957" t="s">
        <v>1041</v>
      </c>
      <c r="B957" s="1">
        <v>46075</v>
      </c>
      <c r="C957" t="s">
        <v>95</v>
      </c>
      <c r="D957" t="s">
        <v>63</v>
      </c>
      <c r="E957" t="s">
        <v>47</v>
      </c>
      <c r="F957" t="s">
        <v>100</v>
      </c>
      <c r="G957" t="s">
        <v>101</v>
      </c>
      <c r="H957">
        <v>1</v>
      </c>
      <c r="I957" s="3">
        <v>399</v>
      </c>
      <c r="J957" s="4">
        <v>15</v>
      </c>
      <c r="K957" s="3">
        <v>339</v>
      </c>
      <c r="L957" s="3">
        <v>339</v>
      </c>
      <c r="M957" t="s">
        <v>28</v>
      </c>
      <c r="N957" t="s">
        <v>37</v>
      </c>
      <c r="O957" s="3">
        <v>45</v>
      </c>
      <c r="P957" t="s">
        <v>30</v>
      </c>
      <c r="Q957" s="3">
        <v>15.93</v>
      </c>
      <c r="R957" s="3">
        <v>149.11000000000001</v>
      </c>
      <c r="S957" s="3">
        <v>128.96</v>
      </c>
      <c r="T957" s="3">
        <v>339</v>
      </c>
      <c r="U957" s="3">
        <v>8</v>
      </c>
      <c r="V957" t="s">
        <v>96</v>
      </c>
    </row>
    <row r="958" spans="1:22" x14ac:dyDescent="0.3">
      <c r="A958" t="s">
        <v>1042</v>
      </c>
      <c r="B958" s="1">
        <v>46103</v>
      </c>
      <c r="C958" t="s">
        <v>39</v>
      </c>
      <c r="D958" t="s">
        <v>46</v>
      </c>
      <c r="E958" t="s">
        <v>47</v>
      </c>
      <c r="F958" t="s">
        <v>100</v>
      </c>
      <c r="G958" t="s">
        <v>101</v>
      </c>
      <c r="H958">
        <v>1</v>
      </c>
      <c r="I958" s="3">
        <v>899</v>
      </c>
      <c r="J958" s="4">
        <v>15</v>
      </c>
      <c r="K958" s="3">
        <v>764</v>
      </c>
      <c r="L958" s="3">
        <v>764</v>
      </c>
      <c r="M958" t="s">
        <v>76</v>
      </c>
      <c r="N958" t="s">
        <v>29</v>
      </c>
      <c r="O958" s="3">
        <v>35</v>
      </c>
      <c r="P958" t="s">
        <v>30</v>
      </c>
      <c r="Q958" s="3">
        <v>32.44</v>
      </c>
      <c r="R958" s="3">
        <v>341.51</v>
      </c>
      <c r="S958" s="3">
        <v>355.05</v>
      </c>
      <c r="T958" s="3">
        <v>764</v>
      </c>
      <c r="U958" s="3">
        <v>12</v>
      </c>
      <c r="V958" t="s">
        <v>43</v>
      </c>
    </row>
    <row r="959" spans="1:22" x14ac:dyDescent="0.3">
      <c r="A959" t="s">
        <v>1043</v>
      </c>
      <c r="B959" s="1">
        <v>46224</v>
      </c>
      <c r="C959" t="s">
        <v>45</v>
      </c>
      <c r="D959" t="s">
        <v>53</v>
      </c>
      <c r="E959" t="s">
        <v>54</v>
      </c>
      <c r="F959" t="s">
        <v>35</v>
      </c>
      <c r="G959" t="s">
        <v>36</v>
      </c>
      <c r="H959">
        <v>1</v>
      </c>
      <c r="I959" s="3">
        <v>499</v>
      </c>
      <c r="J959" s="4">
        <v>20</v>
      </c>
      <c r="K959" s="3">
        <v>399</v>
      </c>
      <c r="L959" s="3">
        <v>399</v>
      </c>
      <c r="M959" t="s">
        <v>28</v>
      </c>
      <c r="N959" t="s">
        <v>37</v>
      </c>
      <c r="O959" s="3">
        <v>55</v>
      </c>
      <c r="P959" t="s">
        <v>30</v>
      </c>
      <c r="Q959" s="3">
        <v>28.34</v>
      </c>
      <c r="R959" s="3">
        <v>199.4</v>
      </c>
      <c r="S959" s="3">
        <v>116.26</v>
      </c>
      <c r="T959" s="3">
        <v>399</v>
      </c>
      <c r="U959" s="3">
        <v>30</v>
      </c>
      <c r="V959" t="s">
        <v>50</v>
      </c>
    </row>
    <row r="960" spans="1:22" x14ac:dyDescent="0.3">
      <c r="A960" t="s">
        <v>1044</v>
      </c>
      <c r="B960" s="1">
        <v>46180</v>
      </c>
      <c r="C960" t="s">
        <v>78</v>
      </c>
      <c r="D960" t="s">
        <v>74</v>
      </c>
      <c r="E960" t="s">
        <v>75</v>
      </c>
      <c r="F960" t="s">
        <v>84</v>
      </c>
      <c r="G960" t="s">
        <v>84</v>
      </c>
      <c r="H960">
        <v>1</v>
      </c>
      <c r="I960" s="3">
        <v>549</v>
      </c>
      <c r="J960" s="4">
        <v>30</v>
      </c>
      <c r="K960" s="3">
        <v>384</v>
      </c>
      <c r="L960" s="3">
        <v>384</v>
      </c>
      <c r="M960" t="s">
        <v>28</v>
      </c>
      <c r="N960" t="s">
        <v>37</v>
      </c>
      <c r="O960" s="3">
        <v>35</v>
      </c>
      <c r="P960" t="s">
        <v>30</v>
      </c>
      <c r="Q960" s="3">
        <v>26.73</v>
      </c>
      <c r="R960" s="3">
        <v>182.13</v>
      </c>
      <c r="S960" s="3">
        <v>140.13999999999999</v>
      </c>
      <c r="T960" s="3">
        <v>384</v>
      </c>
      <c r="U960" s="3">
        <v>23</v>
      </c>
      <c r="V960" t="s">
        <v>81</v>
      </c>
    </row>
    <row r="961" spans="1:22" x14ac:dyDescent="0.3">
      <c r="A961" t="s">
        <v>1045</v>
      </c>
      <c r="B961" s="1">
        <v>46142</v>
      </c>
      <c r="C961" t="s">
        <v>23</v>
      </c>
      <c r="D961" t="s">
        <v>53</v>
      </c>
      <c r="E961" t="s">
        <v>54</v>
      </c>
      <c r="F961" t="s">
        <v>42</v>
      </c>
      <c r="G961" t="s">
        <v>27</v>
      </c>
      <c r="H961">
        <v>1</v>
      </c>
      <c r="I961" s="3">
        <v>499</v>
      </c>
      <c r="J961" s="4">
        <v>25</v>
      </c>
      <c r="K961" s="3">
        <v>374</v>
      </c>
      <c r="L961" s="3">
        <v>374</v>
      </c>
      <c r="M961" t="s">
        <v>28</v>
      </c>
      <c r="N961" t="s">
        <v>29</v>
      </c>
      <c r="O961" s="3">
        <v>55</v>
      </c>
      <c r="P961" t="s">
        <v>30</v>
      </c>
      <c r="Q961" s="3">
        <v>26.22</v>
      </c>
      <c r="R961" s="3">
        <v>187.87</v>
      </c>
      <c r="S961" s="3">
        <v>104.91</v>
      </c>
      <c r="T961" s="3">
        <v>374</v>
      </c>
      <c r="U961" s="3">
        <v>18</v>
      </c>
      <c r="V961" t="s">
        <v>31</v>
      </c>
    </row>
    <row r="962" spans="1:22" x14ac:dyDescent="0.3">
      <c r="A962" t="s">
        <v>1046</v>
      </c>
      <c r="B962" s="1">
        <v>46081</v>
      </c>
      <c r="C962" t="s">
        <v>95</v>
      </c>
      <c r="D962" t="s">
        <v>53</v>
      </c>
      <c r="E962" t="s">
        <v>54</v>
      </c>
      <c r="F962" t="s">
        <v>109</v>
      </c>
      <c r="G962" t="s">
        <v>110</v>
      </c>
      <c r="H962">
        <v>1</v>
      </c>
      <c r="I962" s="3">
        <v>499</v>
      </c>
      <c r="J962" s="4">
        <v>15</v>
      </c>
      <c r="K962" s="3">
        <v>424</v>
      </c>
      <c r="L962" s="3">
        <v>424</v>
      </c>
      <c r="M962" t="s">
        <v>76</v>
      </c>
      <c r="N962" t="s">
        <v>37</v>
      </c>
      <c r="O962" s="3">
        <v>65</v>
      </c>
      <c r="P962" t="s">
        <v>30</v>
      </c>
      <c r="Q962" s="3">
        <v>23.23</v>
      </c>
      <c r="R962" s="3">
        <v>192.04</v>
      </c>
      <c r="S962" s="3">
        <v>143.72999999999999</v>
      </c>
      <c r="T962" s="3">
        <v>424</v>
      </c>
      <c r="U962" s="3">
        <v>9</v>
      </c>
      <c r="V962" t="s">
        <v>96</v>
      </c>
    </row>
    <row r="963" spans="1:22" x14ac:dyDescent="0.3">
      <c r="A963" t="s">
        <v>1047</v>
      </c>
      <c r="B963" s="1">
        <v>46237</v>
      </c>
      <c r="C963" t="s">
        <v>67</v>
      </c>
      <c r="D963" t="s">
        <v>46</v>
      </c>
      <c r="E963" t="s">
        <v>47</v>
      </c>
      <c r="F963" t="s">
        <v>68</v>
      </c>
      <c r="G963" t="s">
        <v>27</v>
      </c>
      <c r="H963">
        <v>2</v>
      </c>
      <c r="I963" s="3">
        <v>899</v>
      </c>
      <c r="J963" s="4">
        <v>20</v>
      </c>
      <c r="K963" s="3">
        <v>719</v>
      </c>
      <c r="L963" s="3">
        <v>1438</v>
      </c>
      <c r="M963" t="s">
        <v>69</v>
      </c>
      <c r="N963" t="s">
        <v>37</v>
      </c>
      <c r="O963" s="3">
        <v>45</v>
      </c>
      <c r="P963" t="s">
        <v>70</v>
      </c>
      <c r="Q963" s="3">
        <v>63.14</v>
      </c>
      <c r="R963" s="3">
        <v>606.12</v>
      </c>
      <c r="S963" s="3">
        <v>723.74</v>
      </c>
      <c r="T963" s="3">
        <v>719</v>
      </c>
      <c r="U963" s="3">
        <v>32</v>
      </c>
      <c r="V963" t="s">
        <v>71</v>
      </c>
    </row>
    <row r="964" spans="1:22" x14ac:dyDescent="0.3">
      <c r="A964" t="s">
        <v>1048</v>
      </c>
      <c r="B964" s="1">
        <v>46150</v>
      </c>
      <c r="C964" t="s">
        <v>62</v>
      </c>
      <c r="D964" t="s">
        <v>93</v>
      </c>
      <c r="E964" t="s">
        <v>47</v>
      </c>
      <c r="F964" t="s">
        <v>48</v>
      </c>
      <c r="G964" t="s">
        <v>49</v>
      </c>
      <c r="H964">
        <v>3</v>
      </c>
      <c r="I964" s="3">
        <v>699</v>
      </c>
      <c r="J964" s="4">
        <v>25</v>
      </c>
      <c r="K964" s="3">
        <v>524</v>
      </c>
      <c r="L964" s="3">
        <v>1572</v>
      </c>
      <c r="M964" t="s">
        <v>64</v>
      </c>
      <c r="N964" t="s">
        <v>37</v>
      </c>
      <c r="O964" s="3">
        <v>65</v>
      </c>
      <c r="P964" t="s">
        <v>30</v>
      </c>
      <c r="Q964" s="3">
        <v>80.3</v>
      </c>
      <c r="R964" s="3">
        <v>795.8</v>
      </c>
      <c r="S964" s="3">
        <v>630.9</v>
      </c>
      <c r="T964" s="3">
        <v>524</v>
      </c>
      <c r="U964" s="3">
        <v>19</v>
      </c>
      <c r="V964" t="s">
        <v>65</v>
      </c>
    </row>
    <row r="965" spans="1:22" x14ac:dyDescent="0.3">
      <c r="A965" t="s">
        <v>1049</v>
      </c>
      <c r="B965" s="1">
        <v>46246</v>
      </c>
      <c r="C965" t="s">
        <v>67</v>
      </c>
      <c r="D965" t="s">
        <v>74</v>
      </c>
      <c r="E965" t="s">
        <v>75</v>
      </c>
      <c r="F965" t="s">
        <v>109</v>
      </c>
      <c r="G965" t="s">
        <v>110</v>
      </c>
      <c r="H965">
        <v>1</v>
      </c>
      <c r="I965" s="3">
        <v>549</v>
      </c>
      <c r="J965" s="4">
        <v>15</v>
      </c>
      <c r="K965" s="3">
        <v>467</v>
      </c>
      <c r="L965" s="3">
        <v>467</v>
      </c>
      <c r="M965" t="s">
        <v>28</v>
      </c>
      <c r="N965" t="s">
        <v>37</v>
      </c>
      <c r="O965" s="3">
        <v>65</v>
      </c>
      <c r="P965" t="s">
        <v>30</v>
      </c>
      <c r="Q965" s="3">
        <v>36.96</v>
      </c>
      <c r="R965" s="3">
        <v>233.97</v>
      </c>
      <c r="S965" s="3">
        <v>131.07</v>
      </c>
      <c r="T965" s="3">
        <v>467</v>
      </c>
      <c r="U965" s="3">
        <v>33</v>
      </c>
      <c r="V965" t="s">
        <v>71</v>
      </c>
    </row>
    <row r="966" spans="1:22" x14ac:dyDescent="0.3">
      <c r="A966" t="s">
        <v>1050</v>
      </c>
      <c r="B966" s="1">
        <v>46231</v>
      </c>
      <c r="C966" t="s">
        <v>45</v>
      </c>
      <c r="D966" t="s">
        <v>74</v>
      </c>
      <c r="E966" t="s">
        <v>75</v>
      </c>
      <c r="F966" t="s">
        <v>68</v>
      </c>
      <c r="G966" t="s">
        <v>27</v>
      </c>
      <c r="H966">
        <v>1</v>
      </c>
      <c r="I966" s="3">
        <v>549</v>
      </c>
      <c r="J966" s="4">
        <v>35</v>
      </c>
      <c r="K966" s="3">
        <v>357</v>
      </c>
      <c r="L966" s="3">
        <v>357</v>
      </c>
      <c r="M966" t="s">
        <v>28</v>
      </c>
      <c r="N966" t="s">
        <v>37</v>
      </c>
      <c r="O966" s="3">
        <v>65</v>
      </c>
      <c r="P966" t="s">
        <v>30</v>
      </c>
      <c r="Q966" s="3">
        <v>20.350000000000001</v>
      </c>
      <c r="R966" s="3">
        <v>159.77000000000001</v>
      </c>
      <c r="S966" s="3">
        <v>111.88</v>
      </c>
      <c r="T966" s="3">
        <v>357</v>
      </c>
      <c r="U966" s="3">
        <v>31</v>
      </c>
      <c r="V966" t="s">
        <v>50</v>
      </c>
    </row>
    <row r="967" spans="1:22" x14ac:dyDescent="0.3">
      <c r="A967" t="s">
        <v>1051</v>
      </c>
      <c r="B967" s="1">
        <v>46137</v>
      </c>
      <c r="C967" t="s">
        <v>23</v>
      </c>
      <c r="D967" t="s">
        <v>53</v>
      </c>
      <c r="E967" t="s">
        <v>54</v>
      </c>
      <c r="F967" t="s">
        <v>42</v>
      </c>
      <c r="G967" t="s">
        <v>27</v>
      </c>
      <c r="H967">
        <v>1</v>
      </c>
      <c r="I967" s="3">
        <v>499</v>
      </c>
      <c r="J967" s="4">
        <v>20</v>
      </c>
      <c r="K967" s="3">
        <v>399</v>
      </c>
      <c r="L967" s="3">
        <v>399</v>
      </c>
      <c r="M967" t="s">
        <v>28</v>
      </c>
      <c r="N967" t="s">
        <v>29</v>
      </c>
      <c r="O967" s="3">
        <v>65</v>
      </c>
      <c r="P967" t="s">
        <v>30</v>
      </c>
      <c r="Q967" s="3">
        <v>22.47</v>
      </c>
      <c r="R967" s="3">
        <v>193.56</v>
      </c>
      <c r="S967" s="3">
        <v>117.97</v>
      </c>
      <c r="T967" s="3">
        <v>399</v>
      </c>
      <c r="U967" s="3">
        <v>17</v>
      </c>
      <c r="V967" t="s">
        <v>31</v>
      </c>
    </row>
    <row r="968" spans="1:22" x14ac:dyDescent="0.3">
      <c r="A968" t="s">
        <v>1052</v>
      </c>
      <c r="B968" s="1">
        <v>46231</v>
      </c>
      <c r="C968" t="s">
        <v>45</v>
      </c>
      <c r="D968" t="s">
        <v>24</v>
      </c>
      <c r="E968" t="s">
        <v>25</v>
      </c>
      <c r="F968" t="s">
        <v>26</v>
      </c>
      <c r="G968" t="s">
        <v>27</v>
      </c>
      <c r="H968">
        <v>1</v>
      </c>
      <c r="I968" s="3">
        <v>349</v>
      </c>
      <c r="J968" s="4">
        <v>20</v>
      </c>
      <c r="K968" s="3">
        <v>279</v>
      </c>
      <c r="L968" s="3">
        <v>279</v>
      </c>
      <c r="M968" t="s">
        <v>28</v>
      </c>
      <c r="N968" t="s">
        <v>37</v>
      </c>
      <c r="O968" s="3">
        <v>55</v>
      </c>
      <c r="P968" t="s">
        <v>30</v>
      </c>
      <c r="Q968" s="3">
        <v>15.57</v>
      </c>
      <c r="R968" s="3">
        <v>143.78</v>
      </c>
      <c r="S968" s="3">
        <v>64.650000000000006</v>
      </c>
      <c r="T968" s="3">
        <v>279</v>
      </c>
      <c r="U968" s="3">
        <v>31</v>
      </c>
      <c r="V968" t="s">
        <v>50</v>
      </c>
    </row>
    <row r="969" spans="1:22" x14ac:dyDescent="0.3">
      <c r="A969" t="s">
        <v>1053</v>
      </c>
      <c r="B969" s="1">
        <v>46036</v>
      </c>
      <c r="C969" t="s">
        <v>52</v>
      </c>
      <c r="D969" t="s">
        <v>74</v>
      </c>
      <c r="E969" t="s">
        <v>75</v>
      </c>
      <c r="F969" t="s">
        <v>109</v>
      </c>
      <c r="G969" t="s">
        <v>110</v>
      </c>
      <c r="H969">
        <v>1</v>
      </c>
      <c r="I969" s="3">
        <v>549</v>
      </c>
      <c r="J969" s="4">
        <v>35</v>
      </c>
      <c r="K969" s="3">
        <v>357</v>
      </c>
      <c r="L969" s="3">
        <v>357</v>
      </c>
      <c r="M969" t="s">
        <v>69</v>
      </c>
      <c r="N969" t="s">
        <v>37</v>
      </c>
      <c r="O969" s="3">
        <v>45</v>
      </c>
      <c r="P969" t="s">
        <v>70</v>
      </c>
      <c r="Q969" s="3">
        <v>22.26</v>
      </c>
      <c r="R969" s="3">
        <v>175.18</v>
      </c>
      <c r="S969" s="3">
        <v>114.56</v>
      </c>
      <c r="T969" s="3">
        <v>357</v>
      </c>
      <c r="U969" s="3">
        <v>3</v>
      </c>
      <c r="V969" t="s">
        <v>57</v>
      </c>
    </row>
    <row r="970" spans="1:22" x14ac:dyDescent="0.3">
      <c r="A970" t="s">
        <v>1054</v>
      </c>
      <c r="B970" s="1">
        <v>46031</v>
      </c>
      <c r="C970" t="s">
        <v>52</v>
      </c>
      <c r="D970" t="s">
        <v>115</v>
      </c>
      <c r="E970" t="s">
        <v>116</v>
      </c>
      <c r="F970" t="s">
        <v>26</v>
      </c>
      <c r="G970" t="s">
        <v>27</v>
      </c>
      <c r="H970">
        <v>2</v>
      </c>
      <c r="I970" s="3">
        <v>249</v>
      </c>
      <c r="J970" s="4">
        <v>40</v>
      </c>
      <c r="K970" s="3">
        <v>149</v>
      </c>
      <c r="L970" s="3">
        <v>298</v>
      </c>
      <c r="M970" t="s">
        <v>28</v>
      </c>
      <c r="N970" t="s">
        <v>37</v>
      </c>
      <c r="O970" s="3">
        <v>65</v>
      </c>
      <c r="P970" t="s">
        <v>30</v>
      </c>
      <c r="Q970" s="3">
        <v>18.43</v>
      </c>
      <c r="R970" s="3">
        <v>126.18</v>
      </c>
      <c r="S970" s="3">
        <v>88.39</v>
      </c>
      <c r="T970" s="3">
        <v>149</v>
      </c>
      <c r="U970" s="3">
        <v>2</v>
      </c>
      <c r="V970" t="s">
        <v>57</v>
      </c>
    </row>
    <row r="971" spans="1:22" x14ac:dyDescent="0.3">
      <c r="A971" t="s">
        <v>1055</v>
      </c>
      <c r="B971" s="1">
        <v>46062</v>
      </c>
      <c r="C971" t="s">
        <v>95</v>
      </c>
      <c r="D971" t="s">
        <v>24</v>
      </c>
      <c r="E971" t="s">
        <v>25</v>
      </c>
      <c r="F971" t="s">
        <v>84</v>
      </c>
      <c r="G971" t="s">
        <v>84</v>
      </c>
      <c r="H971">
        <v>1</v>
      </c>
      <c r="I971" s="3">
        <v>349</v>
      </c>
      <c r="J971" s="4">
        <v>20</v>
      </c>
      <c r="K971" s="3">
        <v>279</v>
      </c>
      <c r="L971" s="3">
        <v>279</v>
      </c>
      <c r="M971" t="s">
        <v>28</v>
      </c>
      <c r="N971" t="s">
        <v>29</v>
      </c>
      <c r="O971" s="3">
        <v>65</v>
      </c>
      <c r="P971" t="s">
        <v>30</v>
      </c>
      <c r="Q971" s="3">
        <v>22.31</v>
      </c>
      <c r="R971" s="3">
        <v>144.72</v>
      </c>
      <c r="S971" s="3">
        <v>46.97</v>
      </c>
      <c r="T971" s="3">
        <v>279</v>
      </c>
      <c r="U971" s="3">
        <v>7</v>
      </c>
      <c r="V971" t="s">
        <v>96</v>
      </c>
    </row>
    <row r="972" spans="1:22" x14ac:dyDescent="0.3">
      <c r="A972" t="s">
        <v>1056</v>
      </c>
      <c r="B972" s="1">
        <v>46259</v>
      </c>
      <c r="C972" t="s">
        <v>67</v>
      </c>
      <c r="D972" t="s">
        <v>93</v>
      </c>
      <c r="E972" t="s">
        <v>47</v>
      </c>
      <c r="F972" t="s">
        <v>109</v>
      </c>
      <c r="G972" t="s">
        <v>110</v>
      </c>
      <c r="H972">
        <v>1</v>
      </c>
      <c r="I972" s="3">
        <v>699</v>
      </c>
      <c r="J972" s="4">
        <v>20</v>
      </c>
      <c r="K972" s="3">
        <v>559</v>
      </c>
      <c r="L972" s="3">
        <v>559</v>
      </c>
      <c r="M972" t="s">
        <v>76</v>
      </c>
      <c r="N972" t="s">
        <v>37</v>
      </c>
      <c r="O972" s="3">
        <v>55</v>
      </c>
      <c r="P972" t="s">
        <v>30</v>
      </c>
      <c r="Q972" s="3">
        <v>27.35</v>
      </c>
      <c r="R972" s="3">
        <v>245.29</v>
      </c>
      <c r="S972" s="3">
        <v>231.36</v>
      </c>
      <c r="T972" s="3">
        <v>559</v>
      </c>
      <c r="U972" s="3">
        <v>35</v>
      </c>
      <c r="V972" t="s">
        <v>71</v>
      </c>
    </row>
    <row r="973" spans="1:22" x14ac:dyDescent="0.3">
      <c r="A973" t="s">
        <v>1057</v>
      </c>
      <c r="B973" s="1">
        <v>46223</v>
      </c>
      <c r="C973" t="s">
        <v>45</v>
      </c>
      <c r="D973" t="s">
        <v>40</v>
      </c>
      <c r="E973" t="s">
        <v>41</v>
      </c>
      <c r="F973" t="s">
        <v>42</v>
      </c>
      <c r="G973" t="s">
        <v>27</v>
      </c>
      <c r="H973">
        <v>1</v>
      </c>
      <c r="I973" s="3">
        <v>449</v>
      </c>
      <c r="J973" s="4">
        <v>5</v>
      </c>
      <c r="K973" s="3">
        <v>427</v>
      </c>
      <c r="L973" s="3">
        <v>427</v>
      </c>
      <c r="M973" t="s">
        <v>28</v>
      </c>
      <c r="N973" t="s">
        <v>29</v>
      </c>
      <c r="O973" s="3">
        <v>35</v>
      </c>
      <c r="P973" t="s">
        <v>30</v>
      </c>
      <c r="Q973" s="3">
        <v>23.51</v>
      </c>
      <c r="R973" s="3">
        <v>182.04</v>
      </c>
      <c r="S973" s="3">
        <v>186.45</v>
      </c>
      <c r="T973" s="3">
        <v>427</v>
      </c>
      <c r="U973" s="3">
        <v>30</v>
      </c>
      <c r="V973" t="s">
        <v>50</v>
      </c>
    </row>
    <row r="974" spans="1:22" x14ac:dyDescent="0.3">
      <c r="A974" t="s">
        <v>1058</v>
      </c>
      <c r="B974" s="1">
        <v>46268</v>
      </c>
      <c r="C974" t="s">
        <v>86</v>
      </c>
      <c r="D974" t="s">
        <v>59</v>
      </c>
      <c r="E974" t="s">
        <v>60</v>
      </c>
      <c r="F974" t="s">
        <v>84</v>
      </c>
      <c r="G974" t="s">
        <v>84</v>
      </c>
      <c r="H974">
        <v>1</v>
      </c>
      <c r="I974" s="3">
        <v>299</v>
      </c>
      <c r="J974" s="4">
        <v>15</v>
      </c>
      <c r="K974" s="3">
        <v>254</v>
      </c>
      <c r="L974" s="3">
        <v>254</v>
      </c>
      <c r="M974" t="s">
        <v>28</v>
      </c>
      <c r="N974" t="s">
        <v>37</v>
      </c>
      <c r="O974" s="3">
        <v>45</v>
      </c>
      <c r="P974" t="s">
        <v>30</v>
      </c>
      <c r="Q974" s="3">
        <v>12.57</v>
      </c>
      <c r="R974" s="3">
        <v>113.35</v>
      </c>
      <c r="S974" s="3">
        <v>83.08</v>
      </c>
      <c r="T974" s="3">
        <v>254</v>
      </c>
      <c r="U974" s="3">
        <v>36</v>
      </c>
      <c r="V974" t="s">
        <v>87</v>
      </c>
    </row>
    <row r="975" spans="1:22" x14ac:dyDescent="0.3">
      <c r="A975" t="s">
        <v>1059</v>
      </c>
      <c r="B975" s="1">
        <v>46257</v>
      </c>
      <c r="C975" t="s">
        <v>67</v>
      </c>
      <c r="D975" t="s">
        <v>33</v>
      </c>
      <c r="E975" t="s">
        <v>34</v>
      </c>
      <c r="F975" t="s">
        <v>109</v>
      </c>
      <c r="G975" t="s">
        <v>110</v>
      </c>
      <c r="H975">
        <v>1</v>
      </c>
      <c r="I975" s="3">
        <v>599</v>
      </c>
      <c r="J975" s="4">
        <v>25</v>
      </c>
      <c r="K975" s="3">
        <v>449</v>
      </c>
      <c r="L975" s="3">
        <v>449</v>
      </c>
      <c r="M975" t="s">
        <v>64</v>
      </c>
      <c r="N975" t="s">
        <v>29</v>
      </c>
      <c r="O975" s="3">
        <v>65</v>
      </c>
      <c r="P975" t="s">
        <v>30</v>
      </c>
      <c r="Q975" s="3">
        <v>30.84</v>
      </c>
      <c r="R975" s="3">
        <v>225.98</v>
      </c>
      <c r="S975" s="3">
        <v>127.18</v>
      </c>
      <c r="T975" s="3">
        <v>449</v>
      </c>
      <c r="U975" s="3">
        <v>34</v>
      </c>
      <c r="V975" t="s">
        <v>71</v>
      </c>
    </row>
    <row r="976" spans="1:22" x14ac:dyDescent="0.3">
      <c r="A976" t="s">
        <v>1060</v>
      </c>
      <c r="B976" s="1">
        <v>46026</v>
      </c>
      <c r="C976" t="s">
        <v>52</v>
      </c>
      <c r="D976" t="s">
        <v>74</v>
      </c>
      <c r="E976" t="s">
        <v>75</v>
      </c>
      <c r="F976" t="s">
        <v>79</v>
      </c>
      <c r="G976" t="s">
        <v>80</v>
      </c>
      <c r="H976">
        <v>1</v>
      </c>
      <c r="I976" s="3">
        <v>549</v>
      </c>
      <c r="J976" s="4">
        <v>5</v>
      </c>
      <c r="K976" s="3">
        <v>522</v>
      </c>
      <c r="L976" s="3">
        <v>522</v>
      </c>
      <c r="M976" t="s">
        <v>28</v>
      </c>
      <c r="N976" t="s">
        <v>29</v>
      </c>
      <c r="O976" s="3">
        <v>65</v>
      </c>
      <c r="P976" t="s">
        <v>30</v>
      </c>
      <c r="Q976" s="3">
        <v>31.23</v>
      </c>
      <c r="R976" s="3">
        <v>235.59</v>
      </c>
      <c r="S976" s="3">
        <v>190.18</v>
      </c>
      <c r="T976" s="3">
        <v>522</v>
      </c>
      <c r="U976" s="3">
        <v>1</v>
      </c>
      <c r="V976" t="s">
        <v>57</v>
      </c>
    </row>
    <row r="977" spans="1:22" x14ac:dyDescent="0.3">
      <c r="A977" t="s">
        <v>1061</v>
      </c>
      <c r="B977" s="1">
        <v>46176</v>
      </c>
      <c r="C977" t="s">
        <v>78</v>
      </c>
      <c r="D977" t="s">
        <v>59</v>
      </c>
      <c r="E977" t="s">
        <v>60</v>
      </c>
      <c r="F977" t="s">
        <v>42</v>
      </c>
      <c r="G977" t="s">
        <v>27</v>
      </c>
      <c r="H977">
        <v>2</v>
      </c>
      <c r="I977" s="3">
        <v>299</v>
      </c>
      <c r="J977" s="4">
        <v>30</v>
      </c>
      <c r="K977" s="3">
        <v>209</v>
      </c>
      <c r="L977" s="3">
        <v>418</v>
      </c>
      <c r="M977" t="s">
        <v>28</v>
      </c>
      <c r="N977" t="s">
        <v>37</v>
      </c>
      <c r="O977" s="3">
        <v>35</v>
      </c>
      <c r="P977" t="s">
        <v>30</v>
      </c>
      <c r="Q977" s="3">
        <v>20.309999999999999</v>
      </c>
      <c r="R977" s="3">
        <v>190.44</v>
      </c>
      <c r="S977" s="3">
        <v>172.25</v>
      </c>
      <c r="T977" s="3">
        <v>209</v>
      </c>
      <c r="U977" s="3">
        <v>23</v>
      </c>
      <c r="V977" t="s">
        <v>81</v>
      </c>
    </row>
    <row r="978" spans="1:22" x14ac:dyDescent="0.3">
      <c r="A978" t="s">
        <v>1062</v>
      </c>
      <c r="B978" s="1">
        <v>46051</v>
      </c>
      <c r="C978" t="s">
        <v>52</v>
      </c>
      <c r="D978" t="s">
        <v>33</v>
      </c>
      <c r="E978" t="s">
        <v>34</v>
      </c>
      <c r="F978" t="s">
        <v>79</v>
      </c>
      <c r="G978" t="s">
        <v>80</v>
      </c>
      <c r="H978">
        <v>2</v>
      </c>
      <c r="I978" s="3">
        <v>599</v>
      </c>
      <c r="J978" s="4">
        <v>20</v>
      </c>
      <c r="K978" s="3">
        <v>479</v>
      </c>
      <c r="L978" s="3">
        <v>958</v>
      </c>
      <c r="M978" t="s">
        <v>69</v>
      </c>
      <c r="N978" t="s">
        <v>37</v>
      </c>
      <c r="O978" s="3">
        <v>35</v>
      </c>
      <c r="P978" t="s">
        <v>70</v>
      </c>
      <c r="Q978" s="3">
        <v>75.95</v>
      </c>
      <c r="R978" s="3">
        <v>439.83</v>
      </c>
      <c r="S978" s="3">
        <v>407.22</v>
      </c>
      <c r="T978" s="3">
        <v>479</v>
      </c>
      <c r="U978" s="3">
        <v>5</v>
      </c>
      <c r="V978" t="s">
        <v>57</v>
      </c>
    </row>
    <row r="979" spans="1:22" x14ac:dyDescent="0.3">
      <c r="A979" t="s">
        <v>1063</v>
      </c>
      <c r="B979" s="1">
        <v>46131</v>
      </c>
      <c r="C979" t="s">
        <v>23</v>
      </c>
      <c r="D979" t="s">
        <v>40</v>
      </c>
      <c r="E979" t="s">
        <v>41</v>
      </c>
      <c r="F979" t="s">
        <v>100</v>
      </c>
      <c r="G979" t="s">
        <v>101</v>
      </c>
      <c r="H979">
        <v>1</v>
      </c>
      <c r="I979" s="3">
        <v>449</v>
      </c>
      <c r="J979" s="4">
        <v>10</v>
      </c>
      <c r="K979" s="3">
        <v>404</v>
      </c>
      <c r="L979" s="3">
        <v>404</v>
      </c>
      <c r="M979" t="s">
        <v>28</v>
      </c>
      <c r="N979" t="s">
        <v>1102</v>
      </c>
      <c r="O979" s="3">
        <v>55</v>
      </c>
      <c r="P979" t="s">
        <v>30</v>
      </c>
      <c r="Q979" s="3">
        <v>17.03</v>
      </c>
      <c r="R979" s="3">
        <v>190.55</v>
      </c>
      <c r="S979" s="3">
        <v>141.41999999999999</v>
      </c>
      <c r="T979" s="3">
        <v>404</v>
      </c>
      <c r="U979" s="3">
        <v>16</v>
      </c>
      <c r="V979" t="s">
        <v>31</v>
      </c>
    </row>
    <row r="980" spans="1:22" x14ac:dyDescent="0.3">
      <c r="A980" t="s">
        <v>1064</v>
      </c>
      <c r="B980" s="1">
        <v>46120</v>
      </c>
      <c r="C980" t="s">
        <v>23</v>
      </c>
      <c r="D980" t="s">
        <v>130</v>
      </c>
      <c r="E980" t="s">
        <v>54</v>
      </c>
      <c r="F980" t="s">
        <v>35</v>
      </c>
      <c r="G980" t="s">
        <v>36</v>
      </c>
      <c r="H980">
        <v>1</v>
      </c>
      <c r="I980" s="3">
        <v>699</v>
      </c>
      <c r="J980" s="4">
        <v>10</v>
      </c>
      <c r="K980" s="3">
        <v>629</v>
      </c>
      <c r="L980" s="3">
        <v>629</v>
      </c>
      <c r="M980" t="s">
        <v>28</v>
      </c>
      <c r="N980" t="s">
        <v>29</v>
      </c>
      <c r="O980" s="3">
        <v>45</v>
      </c>
      <c r="P980" t="s">
        <v>30</v>
      </c>
      <c r="Q980" s="3">
        <v>43.98</v>
      </c>
      <c r="R980" s="3">
        <v>276.57</v>
      </c>
      <c r="S980" s="3">
        <v>263.45</v>
      </c>
      <c r="T980" s="3">
        <v>629</v>
      </c>
      <c r="U980" s="3">
        <v>15</v>
      </c>
      <c r="V980" t="s">
        <v>31</v>
      </c>
    </row>
    <row r="981" spans="1:22" x14ac:dyDescent="0.3">
      <c r="A981" t="s">
        <v>1065</v>
      </c>
      <c r="B981" s="1">
        <v>46237</v>
      </c>
      <c r="C981" t="s">
        <v>67</v>
      </c>
      <c r="D981" t="s">
        <v>59</v>
      </c>
      <c r="E981" t="s">
        <v>60</v>
      </c>
      <c r="F981" t="s">
        <v>109</v>
      </c>
      <c r="G981" t="s">
        <v>110</v>
      </c>
      <c r="H981">
        <v>2</v>
      </c>
      <c r="I981" s="3">
        <v>299</v>
      </c>
      <c r="J981" s="4">
        <v>15</v>
      </c>
      <c r="K981" s="3">
        <v>254</v>
      </c>
      <c r="L981" s="3">
        <v>508</v>
      </c>
      <c r="M981" t="s">
        <v>28</v>
      </c>
      <c r="N981" t="s">
        <v>37</v>
      </c>
      <c r="O981" s="3">
        <v>35</v>
      </c>
      <c r="P981" t="s">
        <v>30</v>
      </c>
      <c r="Q981" s="3">
        <v>28.81</v>
      </c>
      <c r="R981" s="3">
        <v>250.78</v>
      </c>
      <c r="S981" s="3">
        <v>193.41</v>
      </c>
      <c r="T981" s="3">
        <v>254</v>
      </c>
      <c r="U981" s="3">
        <v>32</v>
      </c>
      <c r="V981" t="s">
        <v>71</v>
      </c>
    </row>
    <row r="982" spans="1:22" x14ac:dyDescent="0.3">
      <c r="A982" t="s">
        <v>1066</v>
      </c>
      <c r="B982" s="1">
        <v>46097</v>
      </c>
      <c r="C982" t="s">
        <v>39</v>
      </c>
      <c r="D982" t="s">
        <v>59</v>
      </c>
      <c r="E982" t="s">
        <v>60</v>
      </c>
      <c r="F982" t="s">
        <v>48</v>
      </c>
      <c r="G982" t="s">
        <v>49</v>
      </c>
      <c r="H982">
        <v>1</v>
      </c>
      <c r="I982" s="3">
        <v>299</v>
      </c>
      <c r="J982" s="4">
        <v>25</v>
      </c>
      <c r="K982" s="3">
        <v>224</v>
      </c>
      <c r="L982" s="3">
        <v>224</v>
      </c>
      <c r="M982" t="s">
        <v>28</v>
      </c>
      <c r="N982" t="s">
        <v>37</v>
      </c>
      <c r="O982" s="3">
        <v>35</v>
      </c>
      <c r="P982" t="s">
        <v>30</v>
      </c>
      <c r="Q982" s="3">
        <v>10.1</v>
      </c>
      <c r="R982" s="3">
        <v>103.01</v>
      </c>
      <c r="S982" s="3">
        <v>75.89</v>
      </c>
      <c r="T982" s="3">
        <v>224</v>
      </c>
      <c r="U982" s="3">
        <v>12</v>
      </c>
      <c r="V982" t="s">
        <v>43</v>
      </c>
    </row>
    <row r="983" spans="1:22" x14ac:dyDescent="0.3">
      <c r="A983" t="s">
        <v>1067</v>
      </c>
      <c r="B983" s="1">
        <v>46168</v>
      </c>
      <c r="C983" t="s">
        <v>62</v>
      </c>
      <c r="D983" t="s">
        <v>63</v>
      </c>
      <c r="E983" t="s">
        <v>47</v>
      </c>
      <c r="F983" t="s">
        <v>55</v>
      </c>
      <c r="G983" t="s">
        <v>56</v>
      </c>
      <c r="H983">
        <v>1</v>
      </c>
      <c r="I983" s="3">
        <v>399</v>
      </c>
      <c r="J983" s="4">
        <v>5</v>
      </c>
      <c r="K983" s="3">
        <v>379</v>
      </c>
      <c r="L983" s="3">
        <v>379</v>
      </c>
      <c r="M983" t="s">
        <v>28</v>
      </c>
      <c r="N983" t="s">
        <v>1101</v>
      </c>
      <c r="O983" s="3">
        <v>45</v>
      </c>
      <c r="P983" t="s">
        <v>30</v>
      </c>
      <c r="Q983" s="3">
        <v>17.079999999999998</v>
      </c>
      <c r="R983" s="3">
        <v>196.08</v>
      </c>
      <c r="S983" s="3">
        <v>120.84</v>
      </c>
      <c r="T983" s="3">
        <v>379</v>
      </c>
      <c r="U983" s="3">
        <v>22</v>
      </c>
      <c r="V983" t="s">
        <v>65</v>
      </c>
    </row>
    <row r="984" spans="1:22" x14ac:dyDescent="0.3">
      <c r="A984" t="s">
        <v>1068</v>
      </c>
      <c r="B984" s="1">
        <v>46150</v>
      </c>
      <c r="C984" t="s">
        <v>62</v>
      </c>
      <c r="D984" t="s">
        <v>40</v>
      </c>
      <c r="E984" t="s">
        <v>41</v>
      </c>
      <c r="F984" t="s">
        <v>68</v>
      </c>
      <c r="G984" t="s">
        <v>27</v>
      </c>
      <c r="H984">
        <v>2</v>
      </c>
      <c r="I984" s="3">
        <v>449</v>
      </c>
      <c r="J984" s="4">
        <v>15</v>
      </c>
      <c r="K984" s="3">
        <v>382</v>
      </c>
      <c r="L984" s="3">
        <v>764</v>
      </c>
      <c r="M984" t="s">
        <v>28</v>
      </c>
      <c r="N984" t="s">
        <v>37</v>
      </c>
      <c r="O984" s="3">
        <v>35</v>
      </c>
      <c r="P984" t="s">
        <v>30</v>
      </c>
      <c r="Q984" s="3">
        <v>47.87</v>
      </c>
      <c r="R984" s="3">
        <v>356.92</v>
      </c>
      <c r="S984" s="3">
        <v>324.20999999999998</v>
      </c>
      <c r="T984" s="3">
        <v>382</v>
      </c>
      <c r="U984" s="3">
        <v>19</v>
      </c>
      <c r="V984" t="s">
        <v>65</v>
      </c>
    </row>
    <row r="985" spans="1:22" x14ac:dyDescent="0.3">
      <c r="A985" t="s">
        <v>1069</v>
      </c>
      <c r="B985" s="1">
        <v>46064</v>
      </c>
      <c r="C985" t="s">
        <v>95</v>
      </c>
      <c r="D985" t="s">
        <v>74</v>
      </c>
      <c r="E985" t="s">
        <v>75</v>
      </c>
      <c r="F985" t="s">
        <v>100</v>
      </c>
      <c r="G985" t="s">
        <v>101</v>
      </c>
      <c r="H985">
        <v>1</v>
      </c>
      <c r="I985" s="3">
        <v>549</v>
      </c>
      <c r="J985" s="4">
        <v>15</v>
      </c>
      <c r="K985" s="3">
        <v>467</v>
      </c>
      <c r="L985" s="3">
        <v>467</v>
      </c>
      <c r="M985" t="s">
        <v>69</v>
      </c>
      <c r="N985" t="s">
        <v>37</v>
      </c>
      <c r="O985" s="3">
        <v>65</v>
      </c>
      <c r="P985" t="s">
        <v>70</v>
      </c>
      <c r="Q985" s="3">
        <v>21.31</v>
      </c>
      <c r="R985" s="3">
        <v>229.61</v>
      </c>
      <c r="S985" s="3">
        <v>151.08000000000001</v>
      </c>
      <c r="T985" s="3">
        <v>467</v>
      </c>
      <c r="U985" s="3">
        <v>7</v>
      </c>
      <c r="V985" t="s">
        <v>96</v>
      </c>
    </row>
    <row r="986" spans="1:22" x14ac:dyDescent="0.3">
      <c r="A986" t="s">
        <v>1070</v>
      </c>
      <c r="B986" s="1">
        <v>46063</v>
      </c>
      <c r="C986" t="s">
        <v>95</v>
      </c>
      <c r="D986" t="s">
        <v>40</v>
      </c>
      <c r="E986" t="s">
        <v>41</v>
      </c>
      <c r="F986" t="s">
        <v>26</v>
      </c>
      <c r="G986" t="s">
        <v>27</v>
      </c>
      <c r="H986">
        <v>1</v>
      </c>
      <c r="I986" s="3">
        <v>449</v>
      </c>
      <c r="J986" s="4">
        <v>20</v>
      </c>
      <c r="K986" s="3">
        <v>359</v>
      </c>
      <c r="L986" s="3">
        <v>359</v>
      </c>
      <c r="M986" t="s">
        <v>28</v>
      </c>
      <c r="N986" t="s">
        <v>1101</v>
      </c>
      <c r="O986" s="3">
        <v>35</v>
      </c>
      <c r="P986" t="s">
        <v>30</v>
      </c>
      <c r="Q986" s="3">
        <v>25.33</v>
      </c>
      <c r="R986" s="3">
        <v>160.05000000000001</v>
      </c>
      <c r="S986" s="3">
        <v>138.62</v>
      </c>
      <c r="T986" s="3">
        <v>359</v>
      </c>
      <c r="U986" s="3">
        <v>7</v>
      </c>
      <c r="V986" t="s">
        <v>96</v>
      </c>
    </row>
    <row r="987" spans="1:22" x14ac:dyDescent="0.3">
      <c r="A987" t="s">
        <v>1071</v>
      </c>
      <c r="B987" s="1">
        <v>46056</v>
      </c>
      <c r="C987" t="s">
        <v>95</v>
      </c>
      <c r="D987" t="s">
        <v>46</v>
      </c>
      <c r="E987" t="s">
        <v>47</v>
      </c>
      <c r="F987" t="s">
        <v>109</v>
      </c>
      <c r="G987" t="s">
        <v>110</v>
      </c>
      <c r="H987">
        <v>1</v>
      </c>
      <c r="I987" s="3">
        <v>899</v>
      </c>
      <c r="J987" s="4">
        <v>30</v>
      </c>
      <c r="K987" s="3">
        <v>629</v>
      </c>
      <c r="L987" s="3">
        <v>629</v>
      </c>
      <c r="M987" t="s">
        <v>28</v>
      </c>
      <c r="N987" t="s">
        <v>29</v>
      </c>
      <c r="O987" s="3">
        <v>35</v>
      </c>
      <c r="P987" t="s">
        <v>30</v>
      </c>
      <c r="Q987" s="3">
        <v>38.29</v>
      </c>
      <c r="R987" s="3">
        <v>273.95</v>
      </c>
      <c r="S987" s="3">
        <v>281.76</v>
      </c>
      <c r="T987" s="3">
        <v>629</v>
      </c>
      <c r="U987" s="3">
        <v>6</v>
      </c>
      <c r="V987" t="s">
        <v>96</v>
      </c>
    </row>
    <row r="988" spans="1:22" x14ac:dyDescent="0.3">
      <c r="A988" t="s">
        <v>1072</v>
      </c>
      <c r="B988" s="1">
        <v>46039</v>
      </c>
      <c r="C988" t="s">
        <v>52</v>
      </c>
      <c r="D988" t="s">
        <v>115</v>
      </c>
      <c r="E988" t="s">
        <v>116</v>
      </c>
      <c r="F988" t="s">
        <v>55</v>
      </c>
      <c r="G988" t="s">
        <v>56</v>
      </c>
      <c r="H988">
        <v>2</v>
      </c>
      <c r="I988" s="3">
        <v>249</v>
      </c>
      <c r="J988" s="4">
        <v>15</v>
      </c>
      <c r="K988" s="3">
        <v>212</v>
      </c>
      <c r="L988" s="3">
        <v>424</v>
      </c>
      <c r="M988" t="s">
        <v>76</v>
      </c>
      <c r="N988" t="s">
        <v>37</v>
      </c>
      <c r="O988" s="3">
        <v>65</v>
      </c>
      <c r="P988" t="s">
        <v>30</v>
      </c>
      <c r="Q988" s="3">
        <v>18.43</v>
      </c>
      <c r="R988" s="3">
        <v>210.28</v>
      </c>
      <c r="S988" s="3">
        <v>130.29</v>
      </c>
      <c r="T988" s="3">
        <v>212</v>
      </c>
      <c r="U988" s="3">
        <v>3</v>
      </c>
      <c r="V988" t="s">
        <v>57</v>
      </c>
    </row>
    <row r="989" spans="1:22" x14ac:dyDescent="0.3">
      <c r="A989" t="s">
        <v>1073</v>
      </c>
      <c r="B989" s="1">
        <v>46187</v>
      </c>
      <c r="C989" t="s">
        <v>78</v>
      </c>
      <c r="D989" t="s">
        <v>74</v>
      </c>
      <c r="E989" t="s">
        <v>75</v>
      </c>
      <c r="F989" t="s">
        <v>55</v>
      </c>
      <c r="G989" t="s">
        <v>56</v>
      </c>
      <c r="H989">
        <v>1</v>
      </c>
      <c r="I989" s="3">
        <v>549</v>
      </c>
      <c r="J989" s="4">
        <v>40</v>
      </c>
      <c r="K989" s="3">
        <v>329</v>
      </c>
      <c r="L989" s="3">
        <v>329</v>
      </c>
      <c r="M989" t="s">
        <v>28</v>
      </c>
      <c r="N989" t="s">
        <v>1102</v>
      </c>
      <c r="O989" s="3">
        <v>65</v>
      </c>
      <c r="P989" t="s">
        <v>30</v>
      </c>
      <c r="Q989" s="3">
        <v>22.41</v>
      </c>
      <c r="R989" s="3">
        <v>142.68</v>
      </c>
      <c r="S989" s="3">
        <v>98.91</v>
      </c>
      <c r="T989" s="3">
        <v>329</v>
      </c>
      <c r="U989" s="3">
        <v>24</v>
      </c>
      <c r="V989" t="s">
        <v>81</v>
      </c>
    </row>
    <row r="990" spans="1:22" x14ac:dyDescent="0.3">
      <c r="A990" t="s">
        <v>1074</v>
      </c>
      <c r="B990" s="1">
        <v>46175</v>
      </c>
      <c r="C990" t="s">
        <v>78</v>
      </c>
      <c r="D990" t="s">
        <v>112</v>
      </c>
      <c r="E990" t="s">
        <v>47</v>
      </c>
      <c r="F990" t="s">
        <v>79</v>
      </c>
      <c r="G990" t="s">
        <v>80</v>
      </c>
      <c r="H990">
        <v>1</v>
      </c>
      <c r="I990" s="3">
        <v>299</v>
      </c>
      <c r="J990" s="4">
        <v>15</v>
      </c>
      <c r="K990" s="3">
        <v>254</v>
      </c>
      <c r="L990" s="3">
        <v>254</v>
      </c>
      <c r="M990" t="s">
        <v>28</v>
      </c>
      <c r="N990" t="s">
        <v>29</v>
      </c>
      <c r="O990" s="3">
        <v>55</v>
      </c>
      <c r="P990" t="s">
        <v>30</v>
      </c>
      <c r="Q990" s="3">
        <v>10.24</v>
      </c>
      <c r="R990" s="3">
        <v>126.49</v>
      </c>
      <c r="S990" s="3">
        <v>62.27</v>
      </c>
      <c r="T990" s="3">
        <v>254</v>
      </c>
      <c r="U990" s="3">
        <v>23</v>
      </c>
      <c r="V990" t="s">
        <v>81</v>
      </c>
    </row>
    <row r="991" spans="1:22" x14ac:dyDescent="0.3">
      <c r="A991" t="s">
        <v>1075</v>
      </c>
      <c r="B991" s="1">
        <v>46098</v>
      </c>
      <c r="C991" t="s">
        <v>39</v>
      </c>
      <c r="D991" t="s">
        <v>115</v>
      </c>
      <c r="E991" t="s">
        <v>116</v>
      </c>
      <c r="F991" t="s">
        <v>100</v>
      </c>
      <c r="G991" t="s">
        <v>101</v>
      </c>
      <c r="H991">
        <v>2</v>
      </c>
      <c r="I991" s="3">
        <v>249</v>
      </c>
      <c r="J991" s="4">
        <v>30</v>
      </c>
      <c r="K991" s="3">
        <v>174</v>
      </c>
      <c r="L991" s="3">
        <v>348</v>
      </c>
      <c r="M991" t="s">
        <v>28</v>
      </c>
      <c r="N991" t="s">
        <v>29</v>
      </c>
      <c r="O991" s="3">
        <v>35</v>
      </c>
      <c r="P991" t="s">
        <v>30</v>
      </c>
      <c r="Q991" s="3">
        <v>25.8</v>
      </c>
      <c r="R991" s="3">
        <v>154.58000000000001</v>
      </c>
      <c r="S991" s="3">
        <v>132.62</v>
      </c>
      <c r="T991" s="3">
        <v>174</v>
      </c>
      <c r="U991" s="3">
        <v>12</v>
      </c>
      <c r="V991" t="s">
        <v>43</v>
      </c>
    </row>
    <row r="992" spans="1:22" x14ac:dyDescent="0.3">
      <c r="A992" t="s">
        <v>1076</v>
      </c>
      <c r="B992" s="1">
        <v>46109</v>
      </c>
      <c r="C992" t="s">
        <v>39</v>
      </c>
      <c r="D992" t="s">
        <v>130</v>
      </c>
      <c r="E992" t="s">
        <v>54</v>
      </c>
      <c r="F992" t="s">
        <v>26</v>
      </c>
      <c r="G992" t="s">
        <v>27</v>
      </c>
      <c r="H992">
        <v>1</v>
      </c>
      <c r="I992" s="3">
        <v>699</v>
      </c>
      <c r="J992" s="4">
        <v>20</v>
      </c>
      <c r="K992" s="3">
        <v>559</v>
      </c>
      <c r="L992" s="3">
        <v>559</v>
      </c>
      <c r="M992" t="s">
        <v>69</v>
      </c>
      <c r="N992" t="s">
        <v>37</v>
      </c>
      <c r="O992" s="3">
        <v>65</v>
      </c>
      <c r="P992" t="s">
        <v>70</v>
      </c>
      <c r="Q992" s="3">
        <v>23.36</v>
      </c>
      <c r="R992" s="3">
        <v>286.20999999999998</v>
      </c>
      <c r="S992" s="3">
        <v>184.43</v>
      </c>
      <c r="T992" s="3">
        <v>559</v>
      </c>
      <c r="U992" s="3">
        <v>13</v>
      </c>
      <c r="V992" t="s">
        <v>43</v>
      </c>
    </row>
    <row r="993" spans="1:22" x14ac:dyDescent="0.3">
      <c r="A993" t="s">
        <v>1077</v>
      </c>
      <c r="B993" s="1">
        <v>46139</v>
      </c>
      <c r="C993" t="s">
        <v>23</v>
      </c>
      <c r="D993" t="s">
        <v>115</v>
      </c>
      <c r="E993" t="s">
        <v>116</v>
      </c>
      <c r="F993" t="s">
        <v>42</v>
      </c>
      <c r="G993" t="s">
        <v>27</v>
      </c>
      <c r="H993">
        <v>1</v>
      </c>
      <c r="I993" s="3">
        <v>249</v>
      </c>
      <c r="J993" s="4">
        <v>20</v>
      </c>
      <c r="K993" s="3">
        <v>199</v>
      </c>
      <c r="L993" s="3">
        <v>199</v>
      </c>
      <c r="M993" t="s">
        <v>28</v>
      </c>
      <c r="N993" t="s">
        <v>1102</v>
      </c>
      <c r="O993" s="3">
        <v>55</v>
      </c>
      <c r="P993" t="s">
        <v>30</v>
      </c>
      <c r="Q993" s="3">
        <v>11.3</v>
      </c>
      <c r="R993" s="3">
        <v>95.68</v>
      </c>
      <c r="S993" s="3">
        <v>37.020000000000003</v>
      </c>
      <c r="T993" s="3">
        <v>199</v>
      </c>
      <c r="U993" s="3">
        <v>18</v>
      </c>
      <c r="V993" t="s">
        <v>31</v>
      </c>
    </row>
    <row r="994" spans="1:22" x14ac:dyDescent="0.3">
      <c r="A994" t="s">
        <v>1078</v>
      </c>
      <c r="B994" s="1">
        <v>46049</v>
      </c>
      <c r="C994" t="s">
        <v>52</v>
      </c>
      <c r="D994" t="s">
        <v>115</v>
      </c>
      <c r="E994" t="s">
        <v>116</v>
      </c>
      <c r="F994" t="s">
        <v>68</v>
      </c>
      <c r="G994" t="s">
        <v>27</v>
      </c>
      <c r="H994">
        <v>2</v>
      </c>
      <c r="I994" s="3">
        <v>249</v>
      </c>
      <c r="J994" s="4">
        <v>30</v>
      </c>
      <c r="K994" s="3">
        <v>174</v>
      </c>
      <c r="L994" s="3">
        <v>348</v>
      </c>
      <c r="M994" t="s">
        <v>64</v>
      </c>
      <c r="N994" t="s">
        <v>37</v>
      </c>
      <c r="O994" s="3">
        <v>55</v>
      </c>
      <c r="P994" t="s">
        <v>30</v>
      </c>
      <c r="Q994" s="3">
        <v>23.6</v>
      </c>
      <c r="R994" s="3">
        <v>160.71</v>
      </c>
      <c r="S994" s="3">
        <v>108.69</v>
      </c>
      <c r="T994" s="3">
        <v>174</v>
      </c>
      <c r="U994" s="3">
        <v>5</v>
      </c>
      <c r="V994" t="s">
        <v>57</v>
      </c>
    </row>
    <row r="995" spans="1:22" x14ac:dyDescent="0.3">
      <c r="A995" t="s">
        <v>1079</v>
      </c>
      <c r="B995" s="1">
        <v>46156</v>
      </c>
      <c r="C995" t="s">
        <v>62</v>
      </c>
      <c r="D995" t="s">
        <v>115</v>
      </c>
      <c r="E995" t="s">
        <v>116</v>
      </c>
      <c r="F995" t="s">
        <v>26</v>
      </c>
      <c r="G995" t="s">
        <v>27</v>
      </c>
      <c r="H995">
        <v>2</v>
      </c>
      <c r="I995" s="3">
        <v>249</v>
      </c>
      <c r="J995" s="4">
        <v>10</v>
      </c>
      <c r="K995" s="3">
        <v>224</v>
      </c>
      <c r="L995" s="3">
        <v>448</v>
      </c>
      <c r="M995" t="s">
        <v>76</v>
      </c>
      <c r="N995" t="s">
        <v>1101</v>
      </c>
      <c r="O995" s="3">
        <v>35</v>
      </c>
      <c r="P995" t="s">
        <v>30</v>
      </c>
      <c r="Q995" s="3">
        <v>34.35</v>
      </c>
      <c r="R995" s="3">
        <v>213.26</v>
      </c>
      <c r="S995" s="3">
        <v>165.39</v>
      </c>
      <c r="T995" s="3">
        <v>224</v>
      </c>
      <c r="U995" s="3">
        <v>20</v>
      </c>
      <c r="V995" t="s">
        <v>65</v>
      </c>
    </row>
    <row r="996" spans="1:22" x14ac:dyDescent="0.3">
      <c r="A996" t="s">
        <v>1080</v>
      </c>
      <c r="B996" s="1">
        <v>46241</v>
      </c>
      <c r="C996" t="s">
        <v>67</v>
      </c>
      <c r="D996" t="s">
        <v>24</v>
      </c>
      <c r="E996" t="s">
        <v>25</v>
      </c>
      <c r="F996" t="s">
        <v>42</v>
      </c>
      <c r="G996" t="s">
        <v>27</v>
      </c>
      <c r="H996">
        <v>2</v>
      </c>
      <c r="I996" s="3">
        <v>349</v>
      </c>
      <c r="J996" s="4">
        <v>35</v>
      </c>
      <c r="K996" s="3">
        <v>227</v>
      </c>
      <c r="L996" s="3">
        <v>454</v>
      </c>
      <c r="M996" t="s">
        <v>102</v>
      </c>
      <c r="N996" t="s">
        <v>29</v>
      </c>
      <c r="O996" s="3">
        <v>55</v>
      </c>
      <c r="P996" t="s">
        <v>30</v>
      </c>
      <c r="Q996" s="3">
        <v>32.880000000000003</v>
      </c>
      <c r="R996" s="3">
        <v>221.99</v>
      </c>
      <c r="S996" s="3">
        <v>144.13</v>
      </c>
      <c r="T996" s="3">
        <v>227</v>
      </c>
      <c r="U996" s="3">
        <v>32</v>
      </c>
      <c r="V996" t="s">
        <v>71</v>
      </c>
    </row>
    <row r="997" spans="1:22" x14ac:dyDescent="0.3">
      <c r="A997" t="s">
        <v>1081</v>
      </c>
      <c r="B997" s="1">
        <v>46190</v>
      </c>
      <c r="C997" t="s">
        <v>78</v>
      </c>
      <c r="D997" t="s">
        <v>59</v>
      </c>
      <c r="E997" t="s">
        <v>60</v>
      </c>
      <c r="F997" t="s">
        <v>48</v>
      </c>
      <c r="G997" t="s">
        <v>49</v>
      </c>
      <c r="H997">
        <v>1</v>
      </c>
      <c r="I997" s="3">
        <v>299</v>
      </c>
      <c r="J997" s="4">
        <v>10</v>
      </c>
      <c r="K997" s="3">
        <v>269</v>
      </c>
      <c r="L997" s="3">
        <v>269</v>
      </c>
      <c r="M997" t="s">
        <v>28</v>
      </c>
      <c r="N997" t="s">
        <v>37</v>
      </c>
      <c r="O997" s="3">
        <v>45</v>
      </c>
      <c r="P997" t="s">
        <v>30</v>
      </c>
      <c r="Q997" s="3">
        <v>12.64</v>
      </c>
      <c r="R997" s="3">
        <v>135.81</v>
      </c>
      <c r="S997" s="3">
        <v>75.55</v>
      </c>
      <c r="T997" s="3">
        <v>269</v>
      </c>
      <c r="U997" s="3">
        <v>25</v>
      </c>
      <c r="V997" t="s">
        <v>81</v>
      </c>
    </row>
    <row r="998" spans="1:22" x14ac:dyDescent="0.3">
      <c r="A998" t="s">
        <v>1082</v>
      </c>
      <c r="B998" s="1">
        <v>46120</v>
      </c>
      <c r="C998" t="s">
        <v>23</v>
      </c>
      <c r="D998" t="s">
        <v>130</v>
      </c>
      <c r="E998" t="s">
        <v>54</v>
      </c>
      <c r="F998" t="s">
        <v>48</v>
      </c>
      <c r="G998" t="s">
        <v>49</v>
      </c>
      <c r="H998">
        <v>1</v>
      </c>
      <c r="I998" s="3">
        <v>699</v>
      </c>
      <c r="J998" s="4">
        <v>5</v>
      </c>
      <c r="K998" s="3">
        <v>664</v>
      </c>
      <c r="L998" s="3">
        <v>664</v>
      </c>
      <c r="M998" t="s">
        <v>69</v>
      </c>
      <c r="N998" t="s">
        <v>29</v>
      </c>
      <c r="O998" s="3">
        <v>35</v>
      </c>
      <c r="P998" t="s">
        <v>70</v>
      </c>
      <c r="Q998" s="3">
        <v>51.62</v>
      </c>
      <c r="R998" s="3">
        <v>303.12</v>
      </c>
      <c r="S998" s="3">
        <v>274.26</v>
      </c>
      <c r="T998" s="3">
        <v>664</v>
      </c>
      <c r="U998" s="3">
        <v>15</v>
      </c>
      <c r="V998" t="s">
        <v>31</v>
      </c>
    </row>
    <row r="999" spans="1:22" x14ac:dyDescent="0.3">
      <c r="A999" t="s">
        <v>1083</v>
      </c>
      <c r="B999" s="1">
        <v>46259</v>
      </c>
      <c r="C999" t="s">
        <v>67</v>
      </c>
      <c r="D999" t="s">
        <v>33</v>
      </c>
      <c r="E999" t="s">
        <v>34</v>
      </c>
      <c r="F999" t="s">
        <v>35</v>
      </c>
      <c r="G999" t="s">
        <v>36</v>
      </c>
      <c r="H999">
        <v>2</v>
      </c>
      <c r="I999" s="3">
        <v>599</v>
      </c>
      <c r="J999" s="4">
        <v>25</v>
      </c>
      <c r="K999" s="3">
        <v>449</v>
      </c>
      <c r="L999" s="3">
        <v>898</v>
      </c>
      <c r="M999" t="s">
        <v>28</v>
      </c>
      <c r="N999" t="s">
        <v>37</v>
      </c>
      <c r="O999" s="3">
        <v>45</v>
      </c>
      <c r="P999" t="s">
        <v>30</v>
      </c>
      <c r="Q999" s="3">
        <v>60.61</v>
      </c>
      <c r="R999" s="3">
        <v>387.18</v>
      </c>
      <c r="S999" s="3">
        <v>405.21</v>
      </c>
      <c r="T999" s="3">
        <v>449</v>
      </c>
      <c r="U999" s="3">
        <v>35</v>
      </c>
      <c r="V999" t="s">
        <v>71</v>
      </c>
    </row>
    <row r="1000" spans="1:22" x14ac:dyDescent="0.3">
      <c r="A1000" t="s">
        <v>1084</v>
      </c>
      <c r="B1000" s="1">
        <v>46195</v>
      </c>
      <c r="C1000" t="s">
        <v>78</v>
      </c>
      <c r="D1000" t="s">
        <v>46</v>
      </c>
      <c r="E1000" t="s">
        <v>47</v>
      </c>
      <c r="F1000" t="s">
        <v>26</v>
      </c>
      <c r="G1000" t="s">
        <v>27</v>
      </c>
      <c r="H1000">
        <v>1</v>
      </c>
      <c r="I1000" s="3">
        <v>899</v>
      </c>
      <c r="J1000" s="4">
        <v>5</v>
      </c>
      <c r="K1000" s="3">
        <v>854</v>
      </c>
      <c r="L1000" s="3">
        <v>854</v>
      </c>
      <c r="M1000" t="s">
        <v>64</v>
      </c>
      <c r="N1000" t="s">
        <v>1102</v>
      </c>
      <c r="O1000" s="3">
        <v>65</v>
      </c>
      <c r="P1000" t="s">
        <v>30</v>
      </c>
      <c r="Q1000" s="3">
        <v>37.020000000000003</v>
      </c>
      <c r="R1000" s="3">
        <v>399.92</v>
      </c>
      <c r="S1000" s="3">
        <v>352.06</v>
      </c>
      <c r="T1000" s="3">
        <v>854</v>
      </c>
      <c r="U1000" s="3">
        <v>26</v>
      </c>
      <c r="V1000" t="s">
        <v>81</v>
      </c>
    </row>
    <row r="1001" spans="1:22" x14ac:dyDescent="0.3">
      <c r="A1001" t="s">
        <v>1085</v>
      </c>
      <c r="B1001" s="1">
        <v>46212</v>
      </c>
      <c r="C1001" t="s">
        <v>45</v>
      </c>
      <c r="D1001" t="s">
        <v>59</v>
      </c>
      <c r="E1001" t="s">
        <v>60</v>
      </c>
      <c r="F1001" t="s">
        <v>42</v>
      </c>
      <c r="G1001" t="s">
        <v>27</v>
      </c>
      <c r="H1001">
        <v>1</v>
      </c>
      <c r="I1001" s="3">
        <v>299</v>
      </c>
      <c r="J1001" s="4">
        <v>10</v>
      </c>
      <c r="K1001" s="3">
        <v>269</v>
      </c>
      <c r="L1001" s="3">
        <v>269</v>
      </c>
      <c r="M1001" t="s">
        <v>64</v>
      </c>
      <c r="N1001" t="s">
        <v>37</v>
      </c>
      <c r="O1001" s="3">
        <v>55</v>
      </c>
      <c r="P1001" t="s">
        <v>30</v>
      </c>
      <c r="Q1001" s="3">
        <v>17.38</v>
      </c>
      <c r="R1001" s="3">
        <v>135.25</v>
      </c>
      <c r="S1001" s="3">
        <v>61.37</v>
      </c>
      <c r="T1001" s="3">
        <v>269</v>
      </c>
      <c r="U1001" s="3">
        <v>28</v>
      </c>
      <c r="V1001" t="s">
        <v>50</v>
      </c>
    </row>
  </sheetData>
  <autoFilter ref="A1:V1001" xr:uid="{00000000-0009-0000-0000-000000000000}"/>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86FD-7819-4363-8325-F53EB3CC542C}">
  <dimension ref="A1"/>
  <sheetViews>
    <sheetView showGridLines="0" tabSelected="1" zoomScaleNormal="100" workbookViewId="0">
      <selection activeCell="P38" sqref="P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KPI_Summary</vt:lpstr>
      <vt:lpstr>Sheet3</vt:lpstr>
      <vt:lpstr>Sheet4</vt:lpstr>
      <vt:lpstr>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kashish lahrani</cp:lastModifiedBy>
  <dcterms:created xsi:type="dcterms:W3CDTF">2026-09-25T07:08:50Z</dcterms:created>
  <dcterms:modified xsi:type="dcterms:W3CDTF">2026-10-25T19:27:10Z</dcterms:modified>
</cp:coreProperties>
</file>